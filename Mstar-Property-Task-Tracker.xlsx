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63c65c6c742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866ed8a80a8e4152"/>
    <x:sheet xmlns:r="http://schemas.openxmlformats.org/officeDocument/2006/relationships" name="Backend" sheetId="2" r:id="R179e190ad4154f90"/>
    <x:sheet xmlns:r="http://schemas.openxmlformats.org/officeDocument/2006/relationships" name="Emails" sheetId="3" r:id="R3c72ac5ee7a54cda"/>
    <x:sheet xmlns:r="http://schemas.openxmlformats.org/officeDocument/2006/relationships" name="Done" sheetId="4" r:id="R89555a801afa41bc"/>
    <x:sheet xmlns:r="http://schemas.openxmlformats.org/officeDocument/2006/relationships" name="Pending" sheetId="5" r:id="R59978eb8e3f8416b"/>
    <x:sheet xmlns:r="http://schemas.openxmlformats.org/officeDocument/2006/relationships" name="Not started" sheetId="6" r:id="Rfcb54769f3744b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2">
    <x:border/>
    <x:border/>
  </x:borders>
  <x:cellStyleXfs count="1">
    <x:xf numFmtId="0" fontId="0" fillId="0" borderId="0"/>
  </x:cellStyleXfs>
  <x:cellXfs count="7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  <x:xf numFmtId="0" fontId="7" fillId="1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200" fontId="8" fillId="10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200" fontId="8" fillId="11" borderId="0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 applyAlignment="1">
      <x:alignment vertical="top" wrapText="1"/>
    </x:xf>
    <x:xf numFmtId="200" fontId="8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1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c64dfb13354044" /><Relationship Type="http://schemas.openxmlformats.org/officeDocument/2006/relationships/theme" Target="/xl/theme/theme1.xml" Id="R777631e3704c4872" /><Relationship Type="http://schemas.openxmlformats.org/officeDocument/2006/relationships/sharedStrings" Target="/xl/sharedStrings.xml" Id="R30a97c7bfd074a9c" /><Relationship Type="http://schemas.openxmlformats.org/officeDocument/2006/relationships/worksheet" Target="/xl/worksheets/sheet1.xml" Id="R866ed8a80a8e4152" /><Relationship Type="http://schemas.openxmlformats.org/officeDocument/2006/relationships/worksheet" Target="/xl/worksheets/sheet2.xml" Id="R179e190ad4154f90" /><Relationship Type="http://schemas.openxmlformats.org/officeDocument/2006/relationships/worksheet" Target="/xl/worksheets/sheet3.xml" Id="R3c72ac5ee7a54cda" /><Relationship Type="http://schemas.openxmlformats.org/officeDocument/2006/relationships/worksheet" Target="/xl/worksheets/sheet4.xml" Id="R89555a801afa41bc" /><Relationship Type="http://schemas.openxmlformats.org/officeDocument/2006/relationships/worksheet" Target="/xl/worksheets/sheet5.xml" Id="R59978eb8e3f8416b" /><Relationship Type="http://schemas.openxmlformats.org/officeDocument/2006/relationships/worksheet" Target="/xl/worksheets/sheet6.xml" Id="Rfcb54769f3744b94" /></Relationships>
</file>

<file path=xl/tables/table1.xml><?xml version="1.0" encoding="utf-8"?>
<x:table xmlns:x="http://schemas.openxmlformats.org/spreadsheetml/2006/main" id="34" name="MstarFrontendTasks" displayName="MstarFrontendTasks" ref="A5:M37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35" name="MstarBackendTasks" displayName="MstarBackendTasks" ref="A5:M3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6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37" name="MstarDoneTasks" displayName="MstarDoneTasks" ref="A5:M2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38" name="MstarPendingTasks" displayName="MstarPending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39" name="MstarNotstartedTasks" displayName="MstarNotstartedTasks" ref="A5:M56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e58c766c37460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204676537644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923c7a382534c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7d186b9c10249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afe3d4607aa4b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b0b6c89df874021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3" t="str">
        <x:v>F02</x:v>
      </x:c>
      <x:c r="B6" s="64" t="str">
        <x:v>Decision · Branding</x:v>
      </x:c>
      <x:c r="C6" s="64" t="str">
        <x:v>Owner approves gold / blue / teal / coral accent</x:v>
      </x:c>
      <x:c r="D6" s="64" t="str">
        <x:v>Frontend</x:v>
      </x:c>
      <x:c r="E6" s="64" t="str">
        <x:v>Pending</x:v>
      </x:c>
      <x:c r="F6" s="6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64" t="str">
        <x:v>Codex: preserve existing approved shell; any separate foundation closeout must use the latest passing evidence. Contact details remain owner-supplied.</x:v>
      </x:c>
      <x:c r="H6" s="65" t="d">
        <x:v>2026-10-09T00:00:00.000Z</x:v>
      </x:c>
      <x:c r="I6" s="65" t="d">
        <x:v>2026-10-09T00:00:00.000Z</x:v>
      </x:c>
      <x:c r="J6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4" t="str">
        <x:v>Preceding V5 commit 6e3d7d9 pushed. This Step 2 commit/push is verified during finalization; exact hash is in final report. If final push/sync fails, B01-B04/B34 must revert to Pending.</x:v>
      </x:c>
      <x:c r="L6" s="64" t="str">
        <x:v>44 baseline Git/live hashes matched before changes. Intended code/config/docs/tracker compared and synchronized; final SHA-256 check required before report. Credentials/runtime/deps/caches excluded.</x:v>
      </x:c>
      <x:c r="M6" s="6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63" t="str">
        <x:v>F03</x:v>
      </x:c>
      <x:c r="B7" s="64" t="str">
        <x:v>Decision · Branding</x:v>
      </x:c>
      <x:c r="C7" s="64" t="str">
        <x:v>Provide final crest or horizontal logo for white header</x:v>
      </x:c>
      <x:c r="D7" s="64" t="str">
        <x:v>Frontend</x:v>
      </x:c>
      <x:c r="E7" s="64" t="str">
        <x:v>Pending</x:v>
      </x:c>
      <x:c r="F7" s="64" t="str">
        <x:v>Approved temporary crest extracted and implemented. Owner will provide final header logo later.</x:v>
      </x:c>
      <x:c r="G7" s="64" t="str">
        <x:v>Owner: supply final asset/version later; Codex: replace only approved logo.</x:v>
      </x:c>
      <x:c r="H7" s="65" t="d">
        <x:v>2026-10-09T00:00:00.000Z</x:v>
      </x:c>
      <x:c r="I7" s="65" t="d">
        <x:v>2026-10-09T00:00:00.000Z</x:v>
      </x:c>
      <x:c r="J7" s="6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64" t="str">
        <x:v>Preceding owner-decisions commit 3f56908 pushed. Foundation commit/push verified at finalization; final report identifies its hash.</x:v>
      </x:c>
      <x:c r="L7" s="64" t="str">
        <x:v>Baseline existing Git/live hashes matched. Intended foundation/docs/tracker safely synchronized and hash-checked at finalization; secrets/deps/caches excluded.</x:v>
      </x:c>
      <x:c r="M7" s="6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63" t="str">
        <x:v>F32</x:v>
      </x:c>
      <x:c r="B8" s="64" t="str">
        <x:v>Step 10A · Wireframe</x:v>
      </x:c>
      <x:c r="C8" s="64" t="str">
        <x:v>Owner-approved login/register/account wireframe before coding</x:v>
      </x:c>
      <x:c r="D8" s="64" t="str">
        <x:v>Frontend</x:v>
      </x:c>
      <x:c r="E8" s="64" t="str">
        <x:v>Pending</x:v>
      </x:c>
      <x:c r="F8" s="64" t="str">
        <x:v>Admin/account screens are not part of approved V3 visuals</x:v>
      </x:c>
      <x:c r="G8" s="64" t="str">
        <x:v>Codex: wireframe, owner: review and approve</x:v>
      </x:c>
      <x:c r="H8" s="65"/>
      <x:c r="I8" s="65"/>
      <x:c r="J8" s="64"/>
      <x:c r="K8" s="64"/>
      <x:c r="L8" s="64"/>
      <x:c r="M8" s="64"/>
    </x:row>
    <x:row r="9" ht="26" customHeight="1">
      <x:c r="A9" s="63" t="str">
        <x:v>F34</x:v>
      </x:c>
      <x:c r="B9" s="64" t="str">
        <x:v>Step 11A · Wireframe</x:v>
      </x:c>
      <x:c r="C9" s="64" t="str">
        <x:v>Owner-approved responsive admin dashboard wireframe</x:v>
      </x:c>
      <x:c r="D9" s="64" t="str">
        <x:v>Frontend</x:v>
      </x:c>
      <x:c r="E9" s="64" t="str">
        <x:v>Pending</x:v>
      </x:c>
      <x:c r="F9" s="64" t="str">
        <x:v>Admin UI not included in V3; design approval required</x:v>
      </x:c>
      <x:c r="G9" s="64" t="str">
        <x:v>Codex: wireframe, owner: review and approve</x:v>
      </x:c>
      <x:c r="H9" s="65"/>
      <x:c r="I9" s="65"/>
      <x:c r="J9" s="64"/>
      <x:c r="K9" s="64"/>
      <x:c r="L9" s="64"/>
      <x:c r="M9" s="64"/>
    </x:row>
    <x:row r="10" ht="310" customHeight="1">
      <x:c r="A10" s="63" t="str">
        <x:v>F01</x:v>
      </x:c>
      <x:c r="B10" s="64" t="str">
        <x:v>Step 1 · Design</x:v>
      </x:c>
      <x:c r="C10" s="64" t="str">
        <x:v>Approved V3 CSS tokens, Prompt/Noto Sans Thai fonts, shared UI primitives</x:v>
      </x:c>
      <x:c r="D10" s="64" t="str">
        <x:v>Frontend</x:v>
      </x:c>
      <x:c r="E10" s="64" t="str">
        <x:v>Pending</x:v>
      </x:c>
      <x:c r="F10" s="6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64" t="str">
        <x:v>Codex: preserve existing approved shell; any separate foundation closeout must use the latest passing evidence. Contact details remain owner-supplied.</x:v>
      </x:c>
      <x:c r="H10" s="65" t="d">
        <x:v>2026-10-09T00:00:00.000Z</x:v>
      </x:c>
      <x:c r="I10" s="65" t="d">
        <x:v>2026-10-09T00:00:00.000Z</x:v>
      </x:c>
      <x:c r="J10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64" t="str">
        <x:v>Preceding V5 commit 6e3d7d9 pushed. This Step 2 commit/push is verified during finalization; exact hash is in final report. If final push/sync fails, B01-B04/B34 must revert to Pending.</x:v>
      </x:c>
      <x:c r="L10" s="64" t="str">
        <x:v>44 baseline Git/live hashes matched before changes. Intended code/config/docs/tracker compared and synchronized; final SHA-256 check required before report. Credentials/runtime/deps/caches excluded.</x:v>
      </x:c>
      <x:c r="M10" s="6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63" t="str">
        <x:v>F04</x:v>
      </x:c>
      <x:c r="B11" s="64" t="str">
        <x:v>Step 1 · Layout</x:v>
      </x:c>
      <x:c r="C11" s="64" t="str">
        <x:v>Sticky desktop header with one-line navigation and rectangular Sign in</x:v>
      </x:c>
      <x:c r="D11" s="64" t="str">
        <x:v>Frontend</x:v>
      </x:c>
      <x:c r="E11" s="64" t="str">
        <x:v>Pending</x:v>
      </x:c>
      <x:c r="F11" s="6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64" t="str">
        <x:v>Codex: preserve existing approved shell; any separate foundation closeout must use the latest passing evidence. Contact details remain owner-supplied.</x:v>
      </x:c>
      <x:c r="H11" s="65" t="d">
        <x:v>2026-10-09T00:00:00.000Z</x:v>
      </x:c>
      <x:c r="I11" s="65" t="d">
        <x:v>2026-10-09T00:00:00.000Z</x:v>
      </x:c>
      <x:c r="J11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64" t="str">
        <x:v>Preceding V5 commit 6e3d7d9 pushed. This Step 2 commit/push is verified during finalization; exact hash is in final report. If final push/sync fails, B01-B04/B34 must revert to Pending.</x:v>
      </x:c>
      <x:c r="L11" s="64" t="str">
        <x:v>44 baseline Git/live hashes matched before changes. Intended code/config/docs/tracker compared and synchronized; final SHA-256 check required before report. Credentials/runtime/deps/caches excluded.</x:v>
      </x:c>
      <x:c r="M11" s="6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63" t="str">
        <x:v>F05</x:v>
      </x:c>
      <x:c r="B12" s="64" t="str">
        <x:v>Step 1 · Layout</x:v>
      </x:c>
      <x:c r="C12" s="64" t="str">
        <x:v>Phone header, bottom tabs and responsive breakpoints</x:v>
      </x:c>
      <x:c r="D12" s="64" t="str">
        <x:v>Frontend</x:v>
      </x:c>
      <x:c r="E12" s="64" t="str">
        <x:v>Pending</x:v>
      </x:c>
      <x:c r="F12" s="6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64" t="str">
        <x:v>Codex: preserve existing approved shell; any separate foundation closeout must use the latest passing evidence. Contact details remain owner-supplied.</x:v>
      </x:c>
      <x:c r="H12" s="65" t="d">
        <x:v>2026-10-09T00:00:00.000Z</x:v>
      </x:c>
      <x:c r="I12" s="65" t="d">
        <x:v>2026-10-09T00:00:00.000Z</x:v>
      </x:c>
      <x:c r="J12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64" t="str">
        <x:v>Preceding V5 commit 6e3d7d9 pushed. This Step 2 commit/push is verified during finalization; exact hash is in final report. If final push/sync fails, B01-B04/B34 must revert to Pending.</x:v>
      </x:c>
      <x:c r="L12" s="64" t="str">
        <x:v>44 baseline Git/live hashes matched before changes. Intended code/config/docs/tracker compared and synchronized; final SHA-256 check required before report. Credentials/runtime/deps/caches excluded.</x:v>
      </x:c>
      <x:c r="M12" s="6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63" t="str">
        <x:v>F06</x:v>
      </x:c>
      <x:c r="B13" s="64" t="str">
        <x:v>Step 1 · Layout</x:v>
      </x:c>
      <x:c r="C13" s="64" t="str">
        <x:v>Light footer, company links, contact and PDPA link</x:v>
      </x:c>
      <x:c r="D13" s="64" t="str">
        <x:v>Frontend</x:v>
      </x:c>
      <x:c r="E13" s="64" t="str">
        <x:v>Pending</x:v>
      </x:c>
      <x:c r="F13" s="6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64" t="str">
        <x:v>Codex: preserve existing approved shell; any separate foundation closeout must use the latest passing evidence. Contact details remain owner-supplied.</x:v>
      </x:c>
      <x:c r="H13" s="65" t="d">
        <x:v>2026-10-09T00:00:00.000Z</x:v>
      </x:c>
      <x:c r="I13" s="65" t="d">
        <x:v>2026-10-09T00:00:00.000Z</x:v>
      </x:c>
      <x:c r="J13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64" t="str">
        <x:v>Preceding V5 commit 6e3d7d9 pushed. This Step 2 commit/push is verified during finalization; exact hash is in final report. If final push/sync fails, B01-B04/B34 must revert to Pending.</x:v>
      </x:c>
      <x:c r="L13" s="64" t="str">
        <x:v>44 baseline Git/live hashes matched before changes. Intended code/config/docs/tracker compared and synchronized; final SHA-256 check required before report. Credentials/runtime/deps/caches excluded.</x:v>
      </x:c>
      <x:c r="M13" s="6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63" t="str">
        <x:v>F07</x:v>
      </x:c>
      <x:c r="B14" s="64" t="str">
        <x:v>Step 1 · i18n</x:v>
      </x:c>
      <x:c r="C14" s="64" t="str">
        <x:v>Thai/English routes, language switch and localized formatting</x:v>
      </x:c>
      <x:c r="D14" s="64" t="str">
        <x:v>Frontend</x:v>
      </x:c>
      <x:c r="E14" s="64" t="str">
        <x:v>Pending</x:v>
      </x:c>
      <x:c r="F14" s="6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64" t="str">
        <x:v>Codex: preserve existing approved shell; any separate foundation closeout must use the latest passing evidence. Contact details remain owner-supplied.</x:v>
      </x:c>
      <x:c r="H14" s="65" t="d">
        <x:v>2026-10-09T00:00:00.000Z</x:v>
      </x:c>
      <x:c r="I14" s="65" t="d">
        <x:v>2026-10-09T00:00:00.000Z</x:v>
      </x:c>
      <x:c r="J14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64" t="str">
        <x:v>Preceding V5 commit 6e3d7d9 pushed. This Step 2 commit/push is verified during finalization; exact hash is in final report. If final push/sync fails, B01-B04/B34 must revert to Pending.</x:v>
      </x:c>
      <x:c r="L14" s="64" t="str">
        <x:v>44 baseline Git/live hashes matched before changes. Intended code/config/docs/tracker compared and synchronized; final SHA-256 check required before report. Credentials/runtime/deps/caches excluded.</x:v>
      </x:c>
      <x:c r="M14" s="6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66" t="str">
        <x:v>F14</x:v>
      </x:c>
      <x:c r="B15" s="67" t="str">
        <x:v>Step 4 · Map</x:v>
      </x:c>
      <x:c r="C15" s="67" t="str">
        <x:v>Desktop listing/map split and hover/focus pin synchronization</x:v>
      </x:c>
      <x:c r="D15" s="67" t="str">
        <x:v>Frontend</x:v>
      </x:c>
      <x:c r="E15" s="67" t="str">
        <x:v>Not started</x:v>
      </x:c>
      <x:c r="F15" s="67" t="str">
        <x:v>Not yet implemented; follow approved V3 handoff.</x:v>
      </x:c>
      <x:c r="G15" s="67" t="str">
        <x:v>Codex: implement in assigned step</x:v>
      </x:c>
      <x:c r="H15" s="68"/>
      <x:c r="I15" s="68"/>
      <x:c r="J15" s="67"/>
      <x:c r="K15" s="67"/>
      <x:c r="L15" s="67"/>
      <x:c r="M15" s="67"/>
    </x:row>
    <x:row r="16" ht="26" customHeight="1">
      <x:c r="A16" s="66" t="str">
        <x:v>F15</x:v>
      </x:c>
      <x:c r="B16" s="67" t="str">
        <x:v>Step 4 · Map</x:v>
      </x:c>
      <x:c r="C16" s="67" t="str">
        <x:v>Phone full-screen Map/List toggle</x:v>
      </x:c>
      <x:c r="D16" s="67" t="str">
        <x:v>Frontend</x:v>
      </x:c>
      <x:c r="E16" s="67" t="str">
        <x:v>Not started</x:v>
      </x:c>
      <x:c r="F16" s="67" t="str">
        <x:v>Not yet implemented; follow approved V3 handoff.</x:v>
      </x:c>
      <x:c r="G16" s="67" t="str">
        <x:v>Codex: implement in assigned step</x:v>
      </x:c>
      <x:c r="H16" s="68"/>
      <x:c r="I16" s="68"/>
      <x:c r="J16" s="67"/>
      <x:c r="K16" s="67"/>
      <x:c r="L16" s="67"/>
      <x:c r="M16" s="67"/>
    </x:row>
    <x:row r="17" ht="26" customHeight="1">
      <x:c r="A17" s="66" t="str">
        <x:v>F16</x:v>
      </x:c>
      <x:c r="B17" s="67" t="str">
        <x:v>Step 5 · Property</x:v>
      </x:c>
      <x:c r="C17" s="67" t="str">
        <x:v>Property detail photo grid and full-screen gallery</x:v>
      </x:c>
      <x:c r="D17" s="67" t="str">
        <x:v>Frontend</x:v>
      </x:c>
      <x:c r="E17" s="67" t="str">
        <x:v>Not started</x:v>
      </x:c>
      <x:c r="F17" s="67" t="str">
        <x:v>Not yet implemented; follow approved V3 handoff.</x:v>
      </x:c>
      <x:c r="G17" s="67" t="str">
        <x:v>Codex: implement in assigned step</x:v>
      </x:c>
      <x:c r="H17" s="68"/>
      <x:c r="I17" s="68"/>
      <x:c r="J17" s="67"/>
      <x:c r="K17" s="67"/>
      <x:c r="L17" s="67"/>
      <x:c r="M17" s="67"/>
    </x:row>
    <x:row r="18" ht="26" customHeight="1">
      <x:c r="A18" s="66" t="str">
        <x:v>F17</x:v>
      </x:c>
      <x:c r="B18" s="67" t="str">
        <x:v>Step 5 · Property</x:v>
      </x:c>
      <x:c r="C18" s="67" t="str">
        <x:v>Title, pricing, type-specific facts, long description and sticky tabs</x:v>
      </x:c>
      <x:c r="D18" s="67" t="str">
        <x:v>Frontend</x:v>
      </x:c>
      <x:c r="E18" s="67" t="str">
        <x:v>Not started</x:v>
      </x:c>
      <x:c r="F18" s="67" t="str">
        <x:v>Not yet implemented; follow approved V3 handoff.</x:v>
      </x:c>
      <x:c r="G18" s="67" t="str">
        <x:v>Codex: implement in assigned step</x:v>
      </x:c>
      <x:c r="H18" s="68"/>
      <x:c r="I18" s="68"/>
      <x:c r="J18" s="67"/>
      <x:c r="K18" s="67"/>
      <x:c r="L18" s="67"/>
      <x:c r="M18" s="67"/>
    </x:row>
    <x:row r="19" ht="26" customHeight="1">
      <x:c r="A19" s="66" t="str">
        <x:v>F18</x:v>
      </x:c>
      <x:c r="B19" s="67" t="str">
        <x:v>Step 5 · Property</x:v>
      </x:c>
      <x:c r="C19" s="67" t="str">
        <x:v>Floorplan/video/360 tabs, verified nearby information and map</x:v>
      </x:c>
      <x:c r="D19" s="67" t="str">
        <x:v>Frontend</x:v>
      </x:c>
      <x:c r="E19" s="67" t="str">
        <x:v>Not started</x:v>
      </x:c>
      <x:c r="F19" s="67" t="str">
        <x:v>Not yet implemented; follow approved V3 handoff.</x:v>
      </x:c>
      <x:c r="G19" s="67" t="str">
        <x:v>Codex: implement in assigned step</x:v>
      </x:c>
      <x:c r="H19" s="68"/>
      <x:c r="I19" s="68"/>
      <x:c r="J19" s="67"/>
      <x:c r="K19" s="67"/>
      <x:c r="L19" s="67"/>
      <x:c r="M19" s="67"/>
    </x:row>
    <x:row r="20" ht="26" customHeight="1">
      <x:c r="A20" s="66" t="str">
        <x:v>F19</x:v>
      </x:c>
      <x:c r="B20" s="67" t="str">
        <x:v>Step 5 · Property</x:v>
      </x:c>
      <x:c r="C20" s="67" t="str">
        <x:v>Mortgage calculator and area comparison when real data exists</x:v>
      </x:c>
      <x:c r="D20" s="67" t="str">
        <x:v>Frontend</x:v>
      </x:c>
      <x:c r="E20" s="67" t="str">
        <x:v>Not started</x:v>
      </x:c>
      <x:c r="F20" s="67" t="str">
        <x:v>Not yet implemented; follow approved V3 handoff.</x:v>
      </x:c>
      <x:c r="G20" s="67" t="str">
        <x:v>Codex: implement in assigned step</x:v>
      </x:c>
      <x:c r="H20" s="68"/>
      <x:c r="I20" s="68"/>
      <x:c r="J20" s="67"/>
      <x:c r="K20" s="67"/>
      <x:c r="L20" s="67"/>
      <x:c r="M20" s="67"/>
    </x:row>
    <x:row r="21" ht="26" customHeight="1">
      <x:c r="A21" s="66" t="str">
        <x:v>F20</x:v>
      </x:c>
      <x:c r="B21" s="67" t="str">
        <x:v>Step 5 · Property</x:v>
      </x:c>
      <x:c r="C21" s="67" t="str">
        <x:v>Same-project units and similar-property cards</x:v>
      </x:c>
      <x:c r="D21" s="67" t="str">
        <x:v>Frontend</x:v>
      </x:c>
      <x:c r="E21" s="67" t="str">
        <x:v>Not started</x:v>
      </x:c>
      <x:c r="F21" s="67" t="str">
        <x:v>Not yet implemented; follow approved V3 handoff.</x:v>
      </x:c>
      <x:c r="G21" s="67" t="str">
        <x:v>Codex: implement in assigned step</x:v>
      </x:c>
      <x:c r="H21" s="68"/>
      <x:c r="I21" s="68"/>
      <x:c r="J21" s="67"/>
      <x:c r="K21" s="67"/>
      <x:c r="L21" s="67"/>
      <x:c r="M21" s="67"/>
    </x:row>
    <x:row r="22" ht="26" customHeight="1">
      <x:c r="A22" s="66" t="str">
        <x:v>F21</x:v>
      </x:c>
      <x:c r="B22" s="67" t="str">
        <x:v>Step 6 · Contact</x:v>
      </x:c>
      <x:c r="C22" s="67" t="str">
        <x:v>Shared agent enquiry form, card Contact agent dialog, desktop sticky box and phone contact bar</x:v>
      </x:c>
      <x:c r="D22" s="67" t="str">
        <x:v>Frontend</x:v>
      </x:c>
      <x:c r="E22" s="67" t="str">
        <x:v>Not started</x:v>
      </x:c>
      <x:c r="F22" s="67" t="str">
        <x:v>V5 Step 6 wires the card dialog and property form through one component/action. No implementation started; destinations still unresolved.</x:v>
      </x:c>
      <x:c r="G22" s="67" t="str">
        <x:v>Owner: provide routing/contacts. Codex: implement only under Step 6 authorization.</x:v>
      </x:c>
      <x:c r="H22" s="68"/>
      <x:c r="I22" s="68" t="d">
        <x:v>2026-10-09T00:00:00.000Z</x:v>
      </x:c>
      <x:c r="J22" s="67" t="str">
        <x:v>Documentation/planning update only. No application tests run at owner request. Existing runtime test results remain in prior history. Workbook/source/mirror checks performed.</x:v>
      </x:c>
      <x:c r="K22" s="67" t="str">
        <x:v>Preceding foundation commit 604c62e pushed. V5 adoption commit/push verified at finalization; final report provides hash.</x:v>
      </x:c>
      <x:c r="L22" s="67" t="str">
        <x:v>Baseline live files compared with Git before synchronization; revised guide/source/docs/tracker synchronized only after divergence checks.</x:v>
      </x:c>
      <x:c r="M22" s="6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3" ht="26" customHeight="1">
      <x:c r="A23" s="66" t="str">
        <x:v>F22</x:v>
      </x:c>
      <x:c r="B23" s="67" t="str">
        <x:v>Step 7 · Home</x:v>
      </x:c>
      <x:c r="C23" s="67" t="str">
        <x:v>Single-image hero and compact photography-first layout</x:v>
      </x:c>
      <x:c r="D23" s="67" t="str">
        <x:v>Frontend</x:v>
      </x:c>
      <x:c r="E23" s="67" t="str">
        <x:v>Not started</x:v>
      </x:c>
      <x:c r="F23" s="67" t="str">
        <x:v>Not yet implemented; follow approved V3 handoff.</x:v>
      </x:c>
      <x:c r="G23" s="67" t="str">
        <x:v>Codex: implement in assigned step</x:v>
      </x:c>
      <x:c r="H23" s="68"/>
      <x:c r="I23" s="68"/>
      <x:c r="J23" s="67"/>
      <x:c r="K23" s="67"/>
      <x:c r="L23" s="67"/>
      <x:c r="M23" s="67"/>
    </x:row>
    <x:row r="24" ht="26" customHeight="1">
      <x:c r="A24" s="66" t="str">
        <x:v>F23</x:v>
      </x:c>
      <x:c r="B24" s="67" t="str">
        <x:v>Step 7 · Home</x:v>
      </x:c>
      <x:c r="C24" s="67" t="str">
        <x:v>Shared search box with Buy/Rent/Projects/Investment tabs</x:v>
      </x:c>
      <x:c r="D24" s="67" t="str">
        <x:v>Frontend</x:v>
      </x:c>
      <x:c r="E24" s="67" t="str">
        <x:v>Not started</x:v>
      </x:c>
      <x:c r="F24" s="67" t="str">
        <x:v>Not yet implemented; follow approved V3 handoff.</x:v>
      </x:c>
      <x:c r="G24" s="67" t="str">
        <x:v>Codex: implement in assigned step</x:v>
      </x:c>
      <x:c r="H24" s="68"/>
      <x:c r="I24" s="68"/>
      <x:c r="J24" s="67"/>
      <x:c r="K24" s="67"/>
      <x:c r="L24" s="67"/>
      <x:c r="M24" s="67"/>
    </x:row>
    <x:row r="25" ht="26" customHeight="1">
      <x:c r="A25" s="66" t="str">
        <x:v>F24</x:v>
      </x:c>
      <x:c r="B25" s="67" t="str">
        <x:v>Step 7 · Home</x:v>
      </x:c>
      <x:c r="C25" s="67" t="str">
        <x:v>Categories, recent searches and location/station suggestions</x:v>
      </x:c>
      <x:c r="D25" s="67" t="str">
        <x:v>Frontend</x:v>
      </x:c>
      <x:c r="E25" s="67" t="str">
        <x:v>Not started</x:v>
      </x:c>
      <x:c r="F25" s="67" t="str">
        <x:v>Not yet implemented; follow approved V3 handoff.</x:v>
      </x:c>
      <x:c r="G25" s="67" t="str">
        <x:v>Codex: implement in assigned step</x:v>
      </x:c>
      <x:c r="H25" s="68"/>
      <x:c r="I25" s="68"/>
      <x:c r="J25" s="67"/>
      <x:c r="K25" s="67"/>
      <x:c r="L25" s="67"/>
      <x:c r="M25" s="67"/>
    </x:row>
    <x:row r="26" ht="26" customHeight="1">
      <x:c r="A26" s="66" t="str">
        <x:v>F25</x:v>
      </x:c>
      <x:c r="B26" s="67" t="str">
        <x:v>Step 7 · Home</x:v>
      </x:c>
      <x:c r="C26" s="67" t="str">
        <x:v>Homes for you carousel directly below search; regions with real listing counts</x:v>
      </x:c>
      <x:c r="D26" s="67" t="str">
        <x:v>Frontend</x:v>
      </x:c>
      <x:c r="E26" s="67" t="str">
        <x:v>Not started</x:v>
      </x:c>
      <x:c r="F26" s="67" t="str">
        <x:v>V5 Step 7 uses Step 3 cards: five tabs, arrows, See all, 3/2/1.1 visible cards, swipe/scroll-snap, featured first then newest, up to 12 per tab. Not implemented.</x:v>
      </x:c>
      <x:c r="G26" s="67" t="str">
        <x:v>Codex: implement approved home-page.html only under Step 7 authorization.</x:v>
      </x:c>
      <x:c r="H26" s="68"/>
      <x:c r="I26" s="68" t="d">
        <x:v>2026-10-09T00:00:00.000Z</x:v>
      </x:c>
      <x:c r="J26" s="67" t="str">
        <x:v>Documentation/planning update only. No application tests run at owner request. Existing runtime test results remain in prior history. Workbook/source/mirror checks performed.</x:v>
      </x:c>
      <x:c r="K26" s="67" t="str">
        <x:v>Preceding foundation commit 604c62e pushed. V5 adoption commit/push verified at finalization; final report provides hash.</x:v>
      </x:c>
      <x:c r="L26" s="67" t="str">
        <x:v>Baseline live files compared with Git before synchronization; revised guide/source/docs/tracker synchronized only after divergence checks.</x:v>
      </x:c>
      <x:c r="M26" s="6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7" ht="26" customHeight="1">
      <x:c r="A27" s="66" t="str">
        <x:v>F26</x:v>
      </x:c>
      <x:c r="B27" s="67" t="str">
        <x:v>Step 7 · Home</x:v>
      </x:c>
      <x:c r="C27" s="67" t="str">
        <x:v>New projects, tools, services and owner lead CTAs</x:v>
      </x:c>
      <x:c r="D27" s="67" t="str">
        <x:v>Frontend</x:v>
      </x:c>
      <x:c r="E27" s="67" t="str">
        <x:v>Not started</x:v>
      </x:c>
      <x:c r="F27" s="67" t="str">
        <x:v>Not yet implemented; follow approved V3 handoff.</x:v>
      </x:c>
      <x:c r="G27" s="67" t="str">
        <x:v>Codex: implement in assigned step</x:v>
      </x:c>
      <x:c r="H27" s="68"/>
      <x:c r="I27" s="68"/>
      <x:c r="J27" s="67"/>
      <x:c r="K27" s="67"/>
      <x:c r="L27" s="67"/>
      <x:c r="M27" s="67"/>
    </x:row>
    <x:row r="28" ht="250" customHeight="1">
      <x:c r="A28" s="66" t="str">
        <x:v>F27</x:v>
      </x:c>
      <x:c r="B28" s="67" t="str">
        <x:v>Step 8 · Projects</x:v>
      </x:c>
      <x:c r="C28" s="67" t="str">
        <x:v>Projects index and responsive project detail layouts</x:v>
      </x:c>
      <x:c r="D28" s="67" t="str">
        <x:v>Frontend</x:v>
      </x:c>
      <x:c r="E28" s="67" t="str">
        <x:v>Not started</x:v>
      </x:c>
      <x:c r="F28" s="67" t="str">
        <x:v>Not yet implemented; follow approved V3 handoff.</x:v>
      </x:c>
      <x:c r="G28" s="67" t="str">
        <x:v>Codex: implement in assigned step</x:v>
      </x:c>
      <x:c r="H28" s="68"/>
      <x:c r="I28" s="68"/>
      <x:c r="J28" s="67"/>
      <x:c r="K28" s="67"/>
      <x:c r="L28" s="67"/>
      <x:c r="M28" s="67"/>
    </x:row>
    <x:row r="29" ht="26" customHeight="1">
      <x:c r="A29" s="66" t="str">
        <x:v>F28</x:v>
      </x:c>
      <x:c r="B29" s="67" t="str">
        <x:v>Step 8 · Projects</x:v>
      </x:c>
      <x:c r="C29" s="67" t="str">
        <x:v>Unit types, availability, facility chips, progress and brochure</x:v>
      </x:c>
      <x:c r="D29" s="67" t="str">
        <x:v>Frontend</x:v>
      </x:c>
      <x:c r="E29" s="67" t="str">
        <x:v>Not started</x:v>
      </x:c>
      <x:c r="F29" s="67" t="str">
        <x:v>Not yet implemented; follow approved V3 handoff.</x:v>
      </x:c>
      <x:c r="G29" s="67" t="str">
        <x:v>Codex: implement in assigned step</x:v>
      </x:c>
      <x:c r="H29" s="68"/>
      <x:c r="I29" s="68"/>
      <x:c r="J29" s="67"/>
      <x:c r="K29" s="67"/>
      <x:c r="L29" s="67"/>
      <x:c r="M29" s="67"/>
    </x:row>
    <x:row r="30" ht="26" customHeight="1">
      <x:c r="A30" s="66" t="str">
        <x:v>F29</x:v>
      </x:c>
      <x:c r="B30" s="67" t="str">
        <x:v>Step 8 · Projects</x:v>
      </x:c>
      <x:c r="C30" s="67" t="str">
        <x:v>Data-driven clickable project SVG plot plan</x:v>
      </x:c>
      <x:c r="D30" s="67" t="str">
        <x:v>Frontend</x:v>
      </x:c>
      <x:c r="E30" s="67" t="str">
        <x:v>Not started</x:v>
      </x:c>
      <x:c r="F30" s="67" t="str">
        <x:v>Not yet implemented; follow approved V3 handoff.</x:v>
      </x:c>
      <x:c r="G30" s="67" t="str">
        <x:v>Codex: implement in assigned step</x:v>
      </x:c>
      <x:c r="H30" s="68"/>
      <x:c r="I30" s="68"/>
      <x:c r="J30" s="67"/>
      <x:c r="K30" s="67"/>
      <x:c r="L30" s="67"/>
      <x:c r="M30" s="67"/>
    </x:row>
    <x:row r="31" ht="26" customHeight="1">
      <x:c r="A31" s="66" t="str">
        <x:v>F30</x:v>
      </x:c>
      <x:c r="B31" s="67" t="str">
        <x:v>Step 8 · Booking</x:v>
      </x:c>
      <x:c r="C31" s="67" t="str">
        <x:v>Site visit 3-step form and confirmation screens</x:v>
      </x:c>
      <x:c r="D31" s="67" t="str">
        <x:v>Frontend</x:v>
      </x:c>
      <x:c r="E31" s="67" t="str">
        <x:v>Not started</x:v>
      </x:c>
      <x:c r="F31" s="67" t="str">
        <x:v>Not yet implemented; follow approved V3 handoff.</x:v>
      </x:c>
      <x:c r="G31" s="67" t="str">
        <x:v>Codex: implement in assigned step</x:v>
      </x:c>
      <x:c r="H31" s="68"/>
      <x:c r="I31" s="68"/>
      <x:c r="J31" s="67"/>
      <x:c r="K31" s="67"/>
      <x:c r="L31" s="67"/>
      <x:c r="M31" s="67"/>
    </x:row>
    <x:row r="32" ht="250" customHeight="1">
      <x:c r="A32" s="66" t="str">
        <x:v>F31</x:v>
      </x:c>
      <x:c r="B32" s="67" t="str">
        <x:v>Step 9 · Saved</x:v>
      </x:c>
      <x:c r="C32" s="67" t="str">
        <x:v>Homes, searches and viewings; local save without account</x:v>
      </x:c>
      <x:c r="D32" s="67" t="str">
        <x:v>Frontend</x:v>
      </x:c>
      <x:c r="E32" s="67" t="str">
        <x:v>Not started</x:v>
      </x:c>
      <x:c r="F32" s="67" t="str">
        <x:v>Not yet implemented; follow approved V3 handoff.</x:v>
      </x:c>
      <x:c r="G32" s="67" t="str">
        <x:v>Codex: implement in assigned step</x:v>
      </x:c>
      <x:c r="H32" s="68"/>
      <x:c r="I32" s="68"/>
      <x:c r="J32" s="67"/>
      <x:c r="K32" s="67"/>
      <x:c r="L32" s="67"/>
      <x:c r="M32" s="67"/>
    </x:row>
    <x:row r="33" ht="26" customHeight="1">
      <x:c r="A33" s="66" t="str">
        <x:v>F33</x:v>
      </x:c>
      <x:c r="B33" s="67" t="str">
        <x:v>Step 10B · Accounts</x:v>
      </x:c>
      <x:c r="C33" s="67" t="str">
        <x:v>Build approved auth and account screens only after approval</x:v>
      </x:c>
      <x:c r="D33" s="67" t="str">
        <x:v>Frontend</x:v>
      </x:c>
      <x:c r="E33" s="67" t="str">
        <x:v>Not started</x:v>
      </x:c>
      <x:c r="F33" s="67" t="str">
        <x:v>Not yet implemented; follow approved V3 handoff.</x:v>
      </x:c>
      <x:c r="G33" s="67" t="str">
        <x:v>Codex: implement in assigned step</x:v>
      </x:c>
      <x:c r="H33" s="68"/>
      <x:c r="I33" s="68"/>
      <x:c r="J33" s="67"/>
      <x:c r="K33" s="67"/>
      <x:c r="L33" s="67"/>
      <x:c r="M33" s="67"/>
    </x:row>
    <x:row r="34" ht="26" customHeight="1">
      <x:c r="A34" s="66" t="str">
        <x:v>F35</x:v>
      </x:c>
      <x:c r="B34" s="67" t="str">
        <x:v>Step 11B · Admin</x:v>
      </x:c>
      <x:c r="C34" s="67" t="str">
        <x:v>Admin listing, media, project, agent and enquiry interfaces</x:v>
      </x:c>
      <x:c r="D34" s="67" t="str">
        <x:v>Frontend</x:v>
      </x:c>
      <x:c r="E34" s="67" t="str">
        <x:v>Not started</x:v>
      </x:c>
      <x:c r="F34" s="67" t="str">
        <x:v>Not yet implemented; follow approved V3 handoff.</x:v>
      </x:c>
      <x:c r="G34" s="67" t="str">
        <x:v>Codex: implement in assigned step</x:v>
      </x:c>
      <x:c r="H34" s="68"/>
      <x:c r="I34" s="68"/>
      <x:c r="J34" s="67"/>
      <x:c r="K34" s="67"/>
      <x:c r="L34" s="67"/>
      <x:c r="M34" s="67"/>
    </x:row>
    <x:row r="35" ht="26" customHeight="1">
      <x:c r="A35" s="66" t="str">
        <x:v>F36</x:v>
      </x:c>
      <x:c r="B35" s="67" t="str">
        <x:v>Step 11B · Admin</x:v>
      </x:c>
      <x:c r="C35" s="67" t="str">
        <x:v>Admin-managed searchable filter editor with type safety</x:v>
      </x:c>
      <x:c r="D35" s="67" t="str">
        <x:v>Frontend</x:v>
      </x:c>
      <x:c r="E35" s="67" t="str">
        <x:v>Not started</x:v>
      </x:c>
      <x:c r="F35" s="67" t="str">
        <x:v>Not yet implemented; follow approved V3 handoff.</x:v>
      </x:c>
      <x:c r="G35" s="67" t="str">
        <x:v>Codex: implement in assigned step</x:v>
      </x:c>
      <x:c r="H35" s="68"/>
      <x:c r="I35" s="68"/>
      <x:c r="J35" s="67"/>
      <x:c r="K35" s="67"/>
      <x:c r="L35" s="67"/>
      <x:c r="M35" s="67"/>
    </x:row>
    <x:row r="36" ht="26" customHeight="1">
      <x:c r="A36" s="66" t="str">
        <x:v>F37</x:v>
      </x:c>
      <x:c r="B36" s="67" t="str">
        <x:v>Step 12 · Quality</x:v>
      </x:c>
      <x:c r="C36" s="67" t="str">
        <x:v>A11y/SEO/hreflang/structured data/mobile responsive audit</x:v>
      </x:c>
      <x:c r="D36" s="67" t="str">
        <x:v>Frontend</x:v>
      </x:c>
      <x:c r="E36" s="67" t="str">
        <x:v>Not started</x:v>
      </x:c>
      <x:c r="F36" s="67" t="str">
        <x:v>Not yet implemented; follow approved V3 handoff.</x:v>
      </x:c>
      <x:c r="G36" s="67" t="str">
        <x:v>Codex: implement in assigned step</x:v>
      </x:c>
      <x:c r="H36" s="68"/>
      <x:c r="I36" s="68"/>
      <x:c r="J36" s="67"/>
      <x:c r="K36" s="67"/>
      <x:c r="L36" s="67"/>
      <x:c r="M36" s="67"/>
    </x:row>
    <x:row r="37" ht="26" customHeight="1">
      <x:c r="A37" s="66" t="str">
        <x:v>F38</x:v>
      </x:c>
      <x:c r="B37" s="67" t="str">
        <x:v>Step 12 · Quality</x:v>
      </x:c>
      <x:c r="C37" s="67" t="str">
        <x:v>LCP, INP, CLS, image and bundle optimization with measurements</x:v>
      </x:c>
      <x:c r="D37" s="67" t="str">
        <x:v>Frontend</x:v>
      </x:c>
      <x:c r="E37" s="67" t="str">
        <x:v>Not started</x:v>
      </x:c>
      <x:c r="F37" s="67" t="str">
        <x:v>Not yet implemented; follow approved V3 handoff.</x:v>
      </x:c>
      <x:c r="G37" s="67" t="str">
        <x:v>Codex: implement in assigned step</x:v>
      </x:c>
      <x:c r="H37" s="68"/>
      <x:c r="I37" s="68"/>
      <x:c r="J37" s="67"/>
      <x:c r="K37" s="67"/>
      <x:c r="L37" s="67"/>
      <x:c r="M37" s="67"/>
    </x:row>
    <x:row r="38" ht="26" customHeight="1">
      <x:c r="A38" s="56"/>
      <x:c r="B38" s="57"/>
      <x:c r="C38" s="57"/>
      <x:c r="D38" s="57"/>
      <x:c r="E38" s="57"/>
      <x:c r="F38" s="57"/>
      <x:c r="G38" s="57"/>
      <x:c r="H38" s="58"/>
      <x:c r="I38" s="58"/>
      <x:c r="J38" s="57"/>
      <x:c r="K38" s="57"/>
      <x:c r="L38" s="57"/>
      <x:c r="M38" s="57"/>
    </x:row>
    <x:row r="39" ht="26" customHeight="1">
      <x:c r="A39" s="56"/>
      <x:c r="B39" s="57"/>
      <x:c r="C39" s="57"/>
      <x:c r="D39" s="57"/>
      <x:c r="E39" s="57"/>
      <x:c r="F39" s="57"/>
      <x:c r="G39" s="57"/>
      <x:c r="H39" s="58"/>
      <x:c r="I39" s="58"/>
      <x:c r="J39" s="57"/>
      <x:c r="K39" s="57"/>
      <x:c r="L39" s="57"/>
      <x:c r="M39" s="57"/>
    </x:row>
    <x:row r="40" ht="26" customHeight="1">
      <x:c r="A40" s="56"/>
      <x:c r="B40" s="57"/>
      <x:c r="C40" s="57"/>
      <x:c r="D40" s="57"/>
      <x:c r="E40" s="57"/>
      <x:c r="F40" s="57"/>
      <x:c r="G40" s="57"/>
      <x:c r="H40" s="58"/>
      <x:c r="I40" s="58"/>
      <x:c r="J40" s="57"/>
      <x:c r="K40" s="57"/>
      <x:c r="L40" s="57"/>
      <x:c r="M40" s="57"/>
    </x:row>
    <x:row r="41" ht="26" customHeight="1">
      <x:c r="A41" s="56"/>
      <x:c r="B41" s="57"/>
      <x:c r="C41" s="57"/>
      <x:c r="D41" s="57"/>
      <x:c r="E41" s="57"/>
      <x:c r="F41" s="57"/>
      <x:c r="G41" s="57"/>
      <x:c r="H41" s="58"/>
      <x:c r="I41" s="58"/>
      <x:c r="J41" s="57"/>
      <x:c r="K41" s="57"/>
      <x:c r="L41" s="57"/>
      <x:c r="M41" s="57"/>
    </x:row>
    <x:row r="42" ht="26" customHeight="1">
      <x:c r="A42" s="56"/>
      <x:c r="B42" s="57"/>
      <x:c r="C42" s="57"/>
      <x:c r="D42" s="57"/>
      <x:c r="E42" s="57"/>
      <x:c r="F42" s="57"/>
      <x:c r="G42" s="57"/>
      <x:c r="H42" s="58"/>
      <x:c r="I42" s="58"/>
      <x:c r="J42" s="57"/>
      <x:c r="K42" s="57"/>
      <x:c r="L42" s="57"/>
      <x:c r="M42" s="57"/>
    </x:row>
    <x:row r="43" ht="26" customHeight="1">
      <x:c r="A43" s="56"/>
      <x:c r="B43" s="57"/>
      <x:c r="C43" s="57"/>
      <x:c r="D43" s="57"/>
      <x:c r="E43" s="57"/>
      <x:c r="F43" s="57"/>
      <x:c r="G43" s="57"/>
      <x:c r="H43" s="58"/>
      <x:c r="I43" s="58"/>
      <x:c r="J43" s="57"/>
      <x:c r="K43" s="57"/>
      <x:c r="L43" s="57"/>
      <x:c r="M43" s="57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33" priority="1">
      <x:formula>$E6="Pending"</x:formula>
    </x:cfRule>
    <x:cfRule type="expression" dxfId="34" priority="2">
      <x:formula>$E6="Done"</x:formula>
    </x:cfRule>
    <x:cfRule type="expression" dxfId="35" priority="3">
      <x:formula>$E6="Not started"</x:formula>
    </x:cfRule>
  </x:conditionalFormatting>
  <x:dataValidations count="2">
    <x:dataValidation type="list" sqref="E38:E43">
      <x:formula1>"Done,Pending,Not started"</x:formula1>
    </x:dataValidation>
    <x:dataValidation type="list" sqref="E6:E37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e58c766c37460c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3" t="str">
        <x:v>B09</x:v>
      </x:c>
      <x:c r="B6" s="64" t="str">
        <x:v>Decision · Map</x:v>
      </x:c>
      <x:c r="C6" s="64" t="str">
        <x:v>Select free open-source map library, tile/nearby provider and usage policy</x:v>
      </x:c>
      <x:c r="D6" s="64" t="str">
        <x:v>Backend</x:v>
      </x:c>
      <x:c r="E6" s="64" t="str">
        <x:v>Pending</x:v>
      </x:c>
      <x:c r="F6" s="64" t="str">
        <x:v>Owner/V5 require free open-source mapping. Concrete provider/library/policy remain unresolved; Step 2 makes no choice.</x:v>
      </x:c>
      <x:c r="G6" s="64" t="str">
        <x:v>Codex: present free options and wait for owner choice under Step 4 authorization.</x:v>
      </x:c>
      <x:c r="H6" s="65" t="d">
        <x:v>2026-10-09T00:00:00.000Z</x:v>
      </x:c>
      <x:c r="I6" s="65" t="d">
        <x:v>2026-10-09T00:00:00.000Z</x:v>
      </x:c>
      <x:c r="J6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4" t="str">
        <x:v>Preceding V5 commit 6e3d7d9 pushed. This Step 2 commit/push is verified during finalization; exact hash is in final report. If final push/sync fails, B01-B04/B34 must revert to Pending.</x:v>
      </x:c>
      <x:c r="L6" s="64" t="str">
        <x:v>44 baseline Git/live hashes matched before changes. Intended code/config/docs/tracker compared and synchronized; final SHA-256 check required before report. Credentials/runtime/deps/caches excluded.</x:v>
      </x:c>
      <x:c r="M6" s="6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63" t="str">
        <x:v>B17</x:v>
      </x:c>
      <x:c r="B7" s="64" t="str">
        <x:v>Decision · Leads</x:v>
      </x:c>
      <x:c r="C7" s="64" t="str">
        <x:v>Approve shared inbox versus listing agent enquiry destination</x:v>
      </x:c>
      <x:c r="D7" s="64" t="str">
        <x:v>Backend</x:v>
      </x:c>
      <x:c r="E7" s="64" t="str">
        <x:v>Pending</x:v>
      </x:c>
      <x:c r="F7" s="64" t="str">
        <x:v>BUILD-SPEC §12 #3 unresolved</x:v>
      </x:c>
      <x:c r="G7" s="64" t="str">
        <x:v>Owner: select routing mode and mailbox</x:v>
      </x:c>
      <x:c r="H7" s="65"/>
      <x:c r="I7" s="65"/>
      <x:c r="J7" s="64"/>
      <x:c r="K7" s="64"/>
      <x:c r="L7" s="64"/>
      <x:c r="M7" s="64"/>
    </x:row>
    <x:row r="8" ht="250" customHeight="1">
      <x:c r="A8" s="63" t="str">
        <x:v>B18</x:v>
      </x:c>
      <x:c r="B8" s="64" t="str">
        <x:v>Decision · Chat</x:v>
      </x:c>
      <x:c r="C8" s="64" t="str">
        <x:v>Approve company-wide versus per-agent LINE/WhatsApp IDs</x:v>
      </x:c>
      <x:c r="D8" s="64" t="str">
        <x:v>Backend</x:v>
      </x:c>
      <x:c r="E8" s="64" t="str">
        <x:v>Pending</x:v>
      </x:c>
      <x:c r="F8" s="64" t="str">
        <x:v>Approved LINE/WhatsApp buttons implemented, disabled until real destinations exist. No contact invented. Routing, contacts and active green/white contrast review remain pending.</x:v>
      </x:c>
      <x:c r="G8" s="64" t="str">
        <x:v>Owner: provide actual contacts/routing; Codex: integrate and review accessible contact actions later.</x:v>
      </x:c>
      <x:c r="H8" s="65" t="d">
        <x:v>2026-10-09T00:00:00.000Z</x:v>
      </x:c>
      <x:c r="I8" s="65" t="d">
        <x:v>2026-10-09T00:00:00.000Z</x:v>
      </x:c>
      <x:c r="J8" s="6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64" t="str">
        <x:v>Preceding owner-decisions commit 3f56908 pushed. Foundation commit/push verified at finalization; final report identifies its hash.</x:v>
      </x:c>
      <x:c r="L8" s="64" t="str">
        <x:v>Baseline existing Git/live hashes matched. Intended foundation/docs/tracker safely synchronized and hash-checked at finalization; secrets/deps/caches excluded.</x:v>
      </x:c>
      <x:c r="M8" s="6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63" t="str">
        <x:v>B23</x:v>
      </x:c>
      <x:c r="B9" s="64" t="str">
        <x:v>Decision · Accounts</x:v>
      </x:c>
      <x:c r="C9" s="64" t="str">
        <x:v>Approve LINE only or LINE+Google+email sign-in</x:v>
      </x:c>
      <x:c r="D9" s="64" t="str">
        <x:v>Backend</x:v>
      </x:c>
      <x:c r="E9" s="64" t="str">
        <x:v>Pending</x:v>
      </x:c>
      <x:c r="F9" s="64" t="str">
        <x:v>BUILD-SPEC §12 #5 unresolved</x:v>
      </x:c>
      <x:c r="G9" s="64" t="str">
        <x:v>Owner: approve authentication providers</x:v>
      </x:c>
      <x:c r="H9" s="65"/>
      <x:c r="I9" s="65"/>
      <x:c r="J9" s="64"/>
      <x:c r="K9" s="64"/>
      <x:c r="L9" s="64"/>
      <x:c r="M9" s="64"/>
    </x:row>
    <x:row r="10" ht="200" customHeight="1">
      <x:c r="A10" s="63" t="str">
        <x:v>B28</x:v>
      </x:c>
      <x:c r="B10" s="64" t="str">
        <x:v>Decision · Currency</x:v>
      </x:c>
      <x:c r="C10" s="64" t="str">
        <x:v>Approve THB only versus optional approximate FX display</x:v>
      </x:c>
      <x:c r="D10" s="64" t="str">
        <x:v>Backend</x:v>
      </x:c>
      <x:c r="E10" s="64" t="str">
        <x:v>Pending</x:v>
      </x:c>
      <x:c r="F10" s="64" t="str">
        <x:v>Owner selected USD (US dollars) and THB. Store THB base; display approximate USD using daily rates. Rate source not selected; code not built.</x:v>
      </x:c>
      <x:c r="G10" s="64" t="str">
        <x:v>Codex: implement USD/THB during authorized currency work; confirm rate source.</x:v>
      </x:c>
      <x:c r="H10" s="65"/>
      <x:c r="I10" s="65" t="d">
        <x:v>2026-10-09T00:00:00.000Z</x:v>
      </x:c>
      <x:c r="J10" s="64" t="str">
        <x:v>Documentation-only update. Tracker/source-hash/mirror checks performed. No UI/backend code changed. Real-app/DB tests not run; components absent.</x:v>
      </x:c>
      <x:c r="K10" s="64" t="str">
        <x:v>Preceding verification commit c600068 pushed. Decision update will be committed and verified; final report identifies its hash.</x:v>
      </x:c>
      <x:c r="L10" s="64" t="str">
        <x:v>Git/live matched before update. Changed documentation and canonical workbook mirrored only after divergence checks; final SHA-256 comparison required.</x:v>
      </x:c>
      <x:c r="M10" s="6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63" t="str">
        <x:v>B29</x:v>
      </x:c>
      <x:c r="B11" s="64" t="str">
        <x:v>Decision · Projects</x:v>
      </x:c>
      <x:c r="C11" s="64" t="str">
        <x:v>Approve public project prices versus enquiry-only price list</x:v>
      </x:c>
      <x:c r="D11" s="64" t="str">
        <x:v>Backend</x:v>
      </x:c>
      <x:c r="E11" s="64" t="str">
        <x:v>Pending</x:v>
      </x:c>
      <x:c r="F11" s="64" t="str">
        <x:v>Owner selected both public and contact-gated pricing, chosen by admin per listing/product or project. Choice recorded; implementation pending.</x:v>
      </x:c>
      <x:c r="G11" s="64" t="str">
        <x:v>Codex: add per-record price visibility in authorized backend/admin work after admin wireframe approval.</x:v>
      </x:c>
      <x:c r="H11" s="65"/>
      <x:c r="I11" s="65" t="d">
        <x:v>2026-10-09T00:00:00.000Z</x:v>
      </x:c>
      <x:c r="J11" s="64" t="str">
        <x:v>Documentation-only update. Tracker/source-hash/mirror checks performed. No UI/backend code changed. Real-app/DB tests not run; components absent.</x:v>
      </x:c>
      <x:c r="K11" s="64" t="str">
        <x:v>Preceding verification commit c600068 pushed. Decision update will be committed and verified; final report identifies its hash.</x:v>
      </x:c>
      <x:c r="L11" s="64" t="str">
        <x:v>Git/live matched before update. Changed documentation and canonical workbook mirrored only after divergence checks; final SHA-256 comparison required.</x:v>
      </x:c>
      <x:c r="M11" s="6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63" t="str">
        <x:v>R01</x:v>
      </x:c>
      <x:c r="B12" s="64" t="str">
        <x:v>Step 0 · Preparation</x:v>
      </x:c>
      <x:c r="C12" s="64" t="str">
        <x:v>Inspect project; establish permanent rules, documentation, Git/live mirror and tracker</x:v>
      </x:c>
      <x:c r="D12" s="64" t="str">
        <x:v>Backend</x:v>
      </x:c>
      <x:c r="E12" s="64" t="str">
        <x:v>Pending</x:v>
      </x:c>
      <x:c r="F12" s="6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64" t="str">
        <x:v>Codex: close the separate Step 0 utility/reference-review requirements only when authorized; stop before Step 3.</x:v>
      </x:c>
      <x:c r="H12" s="65" t="d">
        <x:v>2026-10-09T00:00:00.000Z</x:v>
      </x:c>
      <x:c r="I12" s="65" t="d">
        <x:v>2026-10-09T00:00:00.000Z</x:v>
      </x:c>
      <x:c r="J12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64" t="str">
        <x:v>Preceding V5 commit 6e3d7d9 pushed. This Step 2 commit/push is verified during finalization; exact hash is in final report. If final push/sync fails, B01-B04/B34 must revert to Pending.</x:v>
      </x:c>
      <x:c r="L12" s="64" t="str">
        <x:v>44 baseline Git/live hashes matched before changes. Intended code/config/docs/tracker compared and synchronized; final SHA-256 check required before report. Credentials/runtime/deps/caches excluded.</x:v>
      </x:c>
      <x:c r="M12" s="6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3" ht="26" customHeight="1">
      <x:c r="A13" s="66" t="str">
        <x:v>B08</x:v>
      </x:c>
      <x:c r="B13" s="67" t="str">
        <x:v>Step 4 · Map</x:v>
      </x:c>
      <x:c r="C13" s="67" t="str">
        <x:v>Geospatial index, bounding-box search and hidden-pin privacy</x:v>
      </x:c>
      <x:c r="D13" s="67" t="str">
        <x:v>Backend</x:v>
      </x:c>
      <x:c r="E13" s="67" t="str">
        <x:v>Not started</x:v>
      </x:c>
      <x:c r="F13" s="67" t="str">
        <x:v>Not yet implemented; follow approved V3 handoff.</x:v>
      </x:c>
      <x:c r="G13" s="67" t="str">
        <x:v>Codex: implement in assigned step</x:v>
      </x:c>
      <x:c r="H13" s="68"/>
      <x:c r="I13" s="68"/>
      <x:c r="J13" s="67"/>
      <x:c r="K13" s="67"/>
      <x:c r="L13" s="67"/>
      <x:c r="M13" s="67"/>
    </x:row>
    <x:row r="14" ht="26" customHeight="1">
      <x:c r="A14" s="66" t="str">
        <x:v>B10</x:v>
      </x:c>
      <x:c r="B14" s="67" t="str">
        <x:v>Step 4 · Nearby</x:v>
      </x:c>
      <x:c r="C14" s="67" t="str">
        <x:v>Provider-backed nearby data ingest and 90-day refresh</x:v>
      </x:c>
      <x:c r="D14" s="67" t="str">
        <x:v>Backend</x:v>
      </x:c>
      <x:c r="E14" s="67" t="str">
        <x:v>Not started</x:v>
      </x:c>
      <x:c r="F14" s="67" t="str">
        <x:v>Not yet implemented; follow approved V3 handoff.</x:v>
      </x:c>
      <x:c r="G14" s="67" t="str">
        <x:v>Codex: implement in assigned step</x:v>
      </x:c>
      <x:c r="H14" s="68"/>
      <x:c r="I14" s="68"/>
      <x:c r="J14" s="67"/>
      <x:c r="K14" s="67"/>
      <x:c r="L14" s="67"/>
      <x:c r="M14" s="67"/>
    </x:row>
    <x:row r="15" ht="26" customHeight="1">
      <x:c r="A15" s="66" t="str">
        <x:v>B11</x:v>
      </x:c>
      <x:c r="B15" s="67" t="str">
        <x:v>Step 5 · Media</x:v>
      </x:c>
      <x:c r="C15" s="67" t="str">
        <x:v>Photo/floorplan/video metadata and safe image upload pipeline</x:v>
      </x:c>
      <x:c r="D15" s="67" t="str">
        <x:v>Backend</x:v>
      </x:c>
      <x:c r="E15" s="67" t="str">
        <x:v>Not started</x:v>
      </x:c>
      <x:c r="F15" s="67" t="str">
        <x:v>Not yet implemented; follow approved V3 handoff.</x:v>
      </x:c>
      <x:c r="G15" s="67" t="str">
        <x:v>Codex: implement in assigned step</x:v>
      </x:c>
      <x:c r="H15" s="68"/>
      <x:c r="I15" s="68"/>
      <x:c r="J15" s="67"/>
      <x:c r="K15" s="67"/>
      <x:c r="L15" s="67"/>
      <x:c r="M15" s="67"/>
    </x:row>
    <x:row r="16" ht="26" customHeight="1">
      <x:c r="A16" s="66" t="str">
        <x:v>B12</x:v>
      </x:c>
      <x:c r="B16" s="67" t="str">
        <x:v>Step 5 · Similar</x:v>
      </x:c>
      <x:c r="C16" s="67" t="str">
        <x:v>Same-location/type/intent matching with ±25% price fallback</x:v>
      </x:c>
      <x:c r="D16" s="67" t="str">
        <x:v>Backend</x:v>
      </x:c>
      <x:c r="E16" s="67" t="str">
        <x:v>Not started</x:v>
      </x:c>
      <x:c r="F16" s="67" t="str">
        <x:v>Not yet implemented; follow approved V3 handoff.</x:v>
      </x:c>
      <x:c r="G16" s="67" t="str">
        <x:v>Codex: implement in assigned step</x:v>
      </x:c>
      <x:c r="H16" s="68"/>
      <x:c r="I16" s="68"/>
      <x:c r="J16" s="67"/>
      <x:c r="K16" s="67"/>
      <x:c r="L16" s="67"/>
      <x:c r="M16" s="67"/>
    </x:row>
    <x:row r="17" ht="26" customHeight="1">
      <x:c r="A17" s="66" t="str">
        <x:v>B13</x:v>
      </x:c>
      <x:c r="B17" s="67" t="str">
        <x:v>Step 5 · Metrics</x:v>
      </x:c>
      <x:c r="C17" s="67" t="str">
        <x:v>Comparable pricing/yield gated by verified sample size</x:v>
      </x:c>
      <x:c r="D17" s="67" t="str">
        <x:v>Backend</x:v>
      </x:c>
      <x:c r="E17" s="67" t="str">
        <x:v>Not started</x:v>
      </x:c>
      <x:c r="F17" s="67" t="str">
        <x:v>Not yet implemented; follow approved V3 handoff.</x:v>
      </x:c>
      <x:c r="G17" s="67" t="str">
        <x:v>Codex: implement in assigned step</x:v>
      </x:c>
      <x:c r="H17" s="68"/>
      <x:c r="I17" s="68"/>
      <x:c r="J17" s="67"/>
      <x:c r="K17" s="67"/>
      <x:c r="L17" s="67"/>
      <x:c r="M17" s="67"/>
    </x:row>
    <x:row r="18" ht="26" customHeight="1">
      <x:c r="A18" s="66" t="str">
        <x:v>B14</x:v>
      </x:c>
      <x:c r="B18" s="67" t="str">
        <x:v>Step 6 · Leads</x:v>
      </x:c>
      <x:c r="C18" s="67" t="str">
        <x:v>Enquiry API validation and DB-first persist-before-notify flow</x:v>
      </x:c>
      <x:c r="D18" s="67" t="str">
        <x:v>Backend</x:v>
      </x:c>
      <x:c r="E18" s="67" t="str">
        <x:v>Not started</x:v>
      </x:c>
      <x:c r="F18" s="67" t="str">
        <x:v>Not yet implemented; follow approved V3 handoff.</x:v>
      </x:c>
      <x:c r="G18" s="67" t="str">
        <x:v>Codex: implement in assigned step</x:v>
      </x:c>
      <x:c r="H18" s="68"/>
      <x:c r="I18" s="68"/>
      <x:c r="J18" s="67"/>
      <x:c r="K18" s="67"/>
      <x:c r="L18" s="67"/>
      <x:c r="M18" s="67"/>
    </x:row>
    <x:row r="19" ht="26" customHeight="1">
      <x:c r="A19" s="66" t="str">
        <x:v>B15</x:v>
      </x:c>
      <x:c r="B19" s="67" t="str">
        <x:v>Step 6 · Leads</x:v>
      </x:c>
      <x:c r="C19" s="67" t="str">
        <x:v>PDPA consent version, UTM/source, language and audit metadata</x:v>
      </x:c>
      <x:c r="D19" s="67" t="str">
        <x:v>Backend</x:v>
      </x:c>
      <x:c r="E19" s="67" t="str">
        <x:v>Not started</x:v>
      </x:c>
      <x:c r="F19" s="67" t="str">
        <x:v>Not yet implemented; follow approved V3 handoff.</x:v>
      </x:c>
      <x:c r="G19" s="67" t="str">
        <x:v>Codex: implement in assigned step</x:v>
      </x:c>
      <x:c r="H19" s="68"/>
      <x:c r="I19" s="68"/>
      <x:c r="J19" s="67"/>
      <x:c r="K19" s="67"/>
      <x:c r="L19" s="67"/>
      <x:c r="M19" s="67"/>
    </x:row>
    <x:row r="20" ht="26" customHeight="1">
      <x:c r="A20" s="66" t="str">
        <x:v>B16</x:v>
      </x:c>
      <x:c r="B20" s="67" t="str">
        <x:v>Step 6 · Security</x:v>
      </x:c>
      <x:c r="C20" s="67" t="str">
        <x:v>Rate limits, honeypot and duplicate submission protection</x:v>
      </x:c>
      <x:c r="D20" s="67" t="str">
        <x:v>Backend</x:v>
      </x:c>
      <x:c r="E20" s="67" t="str">
        <x:v>Not started</x:v>
      </x:c>
      <x:c r="F20" s="67" t="str">
        <x:v>Not yet implemented; follow approved V3 handoff.</x:v>
      </x:c>
      <x:c r="G20" s="67" t="str">
        <x:v>Codex: implement in assigned step</x:v>
      </x:c>
      <x:c r="H20" s="68"/>
      <x:c r="I20" s="68"/>
      <x:c r="J20" s="67"/>
      <x:c r="K20" s="67"/>
      <x:c r="L20" s="67"/>
      <x:c r="M20" s="67"/>
    </x:row>
    <x:row r="21" ht="26" customHeight="1">
      <x:c r="A21" s="66" t="str">
        <x:v>B19</x:v>
      </x:c>
      <x:c r="B21" s="67" t="str">
        <x:v>Step 6 · Chat</x:v>
      </x:c>
      <x:c r="C21" s="67" t="str">
        <x:v>Validated LINE/WhatsApp URLs and click event tracking</x:v>
      </x:c>
      <x:c r="D21" s="67" t="str">
        <x:v>Backend</x:v>
      </x:c>
      <x:c r="E21" s="67" t="str">
        <x:v>Not started</x:v>
      </x:c>
      <x:c r="F21" s="67" t="str">
        <x:v>Not yet implemented; follow approved V3 handoff.</x:v>
      </x:c>
      <x:c r="G21" s="67" t="str">
        <x:v>Codex: implement in assigned step</x:v>
      </x:c>
      <x:c r="H21" s="68"/>
      <x:c r="I21" s="68"/>
      <x:c r="J21" s="67"/>
      <x:c r="K21" s="67"/>
      <x:c r="L21" s="67"/>
      <x:c r="M21" s="67"/>
    </x:row>
    <x:row r="22" ht="26" customHeight="1">
      <x:c r="A22" s="66" t="str">
        <x:v>B20</x:v>
      </x:c>
      <x:c r="B22" s="67" t="str">
        <x:v>Step 8 · Projects</x:v>
      </x:c>
      <x:c r="C22" s="67" t="str">
        <x:v>Project/unit/plot status logic and validation</x:v>
      </x:c>
      <x:c r="D22" s="67" t="str">
        <x:v>Backend</x:v>
      </x:c>
      <x:c r="E22" s="67" t="str">
        <x:v>Not started</x:v>
      </x:c>
      <x:c r="F22" s="67" t="str">
        <x:v>Not yet implemented; follow approved V3 handoff.</x:v>
      </x:c>
      <x:c r="G22" s="67" t="str">
        <x:v>Codex: implement in assigned step</x:v>
      </x:c>
      <x:c r="H22" s="68"/>
      <x:c r="I22" s="68"/>
      <x:c r="J22" s="67"/>
      <x:c r="K22" s="67"/>
      <x:c r="L22" s="67"/>
      <x:c r="M22" s="67"/>
    </x:row>
    <x:row r="23" ht="26" customHeight="1">
      <x:c r="A23" s="66" t="str">
        <x:v>B21</x:v>
      </x:c>
      <x:c r="B23" s="67" t="str">
        <x:v>Step 8 · Booking</x:v>
      </x:c>
      <x:c r="C23" s="67" t="str">
        <x:v>Site-visit availability and enquiry persistence, double-book protection</x:v>
      </x:c>
      <x:c r="D23" s="67" t="str">
        <x:v>Backend</x:v>
      </x:c>
      <x:c r="E23" s="67" t="str">
        <x:v>Not started</x:v>
      </x:c>
      <x:c r="F23" s="67" t="str">
        <x:v>Not yet implemented; follow approved V3 handoff.</x:v>
      </x:c>
      <x:c r="G23" s="67" t="str">
        <x:v>Codex: implement in assigned step</x:v>
      </x:c>
      <x:c r="H23" s="68"/>
      <x:c r="I23" s="68"/>
      <x:c r="J23" s="67"/>
      <x:c r="K23" s="67"/>
      <x:c r="L23" s="67"/>
      <x:c r="M23" s="67"/>
    </x:row>
    <x:row r="24" ht="26" customHeight="1">
      <x:c r="A24" s="66" t="str">
        <x:v>B22</x:v>
      </x:c>
      <x:c r="B24" s="67" t="str">
        <x:v>Step 9 · Saved</x:v>
      </x:c>
      <x:c r="C24" s="67" t="str">
        <x:v>Saved listings/searches persistence, new-match calculations</x:v>
      </x:c>
      <x:c r="D24" s="67" t="str">
        <x:v>Backend</x:v>
      </x:c>
      <x:c r="E24" s="67" t="str">
        <x:v>Not started</x:v>
      </x:c>
      <x:c r="F24" s="67" t="str">
        <x:v>Not yet implemented; follow approved V3 handoff.</x:v>
      </x:c>
      <x:c r="G24" s="67" t="str">
        <x:v>Codex: implement in assigned step</x:v>
      </x:c>
      <x:c r="H24" s="68"/>
      <x:c r="I24" s="68"/>
      <x:c r="J24" s="67"/>
      <x:c r="K24" s="67"/>
      <x:c r="L24" s="67"/>
      <x:c r="M24" s="67"/>
    </x:row>
    <x:row r="25" ht="26" customHeight="1">
      <x:c r="A25" s="66" t="str">
        <x:v>B24</x:v>
      </x:c>
      <x:c r="B25" s="67" t="str">
        <x:v>Step 10B · Auth</x:v>
      </x:c>
      <x:c r="C25" s="67" t="str">
        <x:v>Secure sessions, approved sign-in integrations and auth tests</x:v>
      </x:c>
      <x:c r="D25" s="67" t="str">
        <x:v>Backend</x:v>
      </x:c>
      <x:c r="E25" s="67" t="str">
        <x:v>Not started</x:v>
      </x:c>
      <x:c r="F25" s="67" t="str">
        <x:v>Not yet implemented; follow approved V3 handoff.</x:v>
      </x:c>
      <x:c r="G25" s="67" t="str">
        <x:v>Codex: implement in assigned step</x:v>
      </x:c>
      <x:c r="H25" s="68"/>
      <x:c r="I25" s="68"/>
      <x:c r="J25" s="67"/>
      <x:c r="K25" s="67"/>
      <x:c r="L25" s="67"/>
      <x:c r="M25" s="67"/>
    </x:row>
    <x:row r="26" ht="26" customHeight="1">
      <x:c r="A26" s="66" t="str">
        <x:v>B25</x:v>
      </x:c>
      <x:c r="B26" s="67" t="str">
        <x:v>Step 10B · Auth</x:v>
      </x:c>
      <x:c r="C26" s="67" t="str">
        <x:v>Account/localStorage saved-item merge and privacy isolation</x:v>
      </x:c>
      <x:c r="D26" s="67" t="str">
        <x:v>Backend</x:v>
      </x:c>
      <x:c r="E26" s="67" t="str">
        <x:v>Not started</x:v>
      </x:c>
      <x:c r="F26" s="67" t="str">
        <x:v>Not yet implemented; follow approved V3 handoff.</x:v>
      </x:c>
      <x:c r="G26" s="67" t="str">
        <x:v>Codex: implement in assigned step</x:v>
      </x:c>
      <x:c r="H26" s="68"/>
      <x:c r="I26" s="68"/>
      <x:c r="J26" s="67"/>
      <x:c r="K26" s="67"/>
      <x:c r="L26" s="67"/>
      <x:c r="M26" s="67"/>
    </x:row>
    <x:row r="27" ht="26" customHeight="1">
      <x:c r="A27" s="66" t="str">
        <x:v>B26</x:v>
      </x:c>
      <x:c r="B27" s="67" t="str">
        <x:v>Step 11B · Admin</x:v>
      </x:c>
      <x:c r="C27" s="67" t="str">
        <x:v>Role-scoped CRUD for listings, images, projects, agents, filter config</x:v>
      </x:c>
      <x:c r="D27" s="67" t="str">
        <x:v>Backend</x:v>
      </x:c>
      <x:c r="E27" s="67" t="str">
        <x:v>Not started</x:v>
      </x:c>
      <x:c r="F27" s="67" t="str">
        <x:v>Not yet implemented; follow approved V3 handoff.</x:v>
      </x:c>
      <x:c r="G27" s="67" t="str">
        <x:v>Codex: implement in assigned step</x:v>
      </x:c>
      <x:c r="H27" s="68"/>
      <x:c r="I27" s="68"/>
      <x:c r="J27" s="67"/>
      <x:c r="K27" s="67"/>
      <x:c r="L27" s="67"/>
      <x:c r="M27" s="67"/>
    </x:row>
    <x:row r="28" ht="26" customHeight="1">
      <x:c r="A28" s="66" t="str">
        <x:v>B27</x:v>
      </x:c>
      <x:c r="B28" s="67" t="str">
        <x:v>Step 11B · Admin</x:v>
      </x:c>
      <x:c r="C28" s="67" t="str">
        <x:v>Admin user management, audit log and sensitive action authorization</x:v>
      </x:c>
      <x:c r="D28" s="67" t="str">
        <x:v>Backend</x:v>
      </x:c>
      <x:c r="E28" s="67" t="str">
        <x:v>Not started</x:v>
      </x:c>
      <x:c r="F28" s="67" t="str">
        <x:v>Not yet implemented; follow approved V3 handoff.</x:v>
      </x:c>
      <x:c r="G28" s="67" t="str">
        <x:v>Codex: implement in assigned step</x:v>
      </x:c>
      <x:c r="H28" s="68"/>
      <x:c r="I28" s="68"/>
      <x:c r="J28" s="67"/>
      <x:c r="K28" s="67"/>
      <x:c r="L28" s="67"/>
      <x:c r="M28" s="67"/>
    </x:row>
    <x:row r="29" ht="26" customHeight="1">
      <x:c r="A29" s="66" t="str">
        <x:v>B30</x:v>
      </x:c>
      <x:c r="B29" s="67" t="str">
        <x:v>Step 12 · Deploy</x:v>
      </x:c>
      <x:c r="C29" s="67" t="str">
        <x:v>Single VPS deployment, TLS, backups and migration runbook</x:v>
      </x:c>
      <x:c r="D29" s="67" t="str">
        <x:v>Backend</x:v>
      </x:c>
      <x:c r="E29" s="67" t="str">
        <x:v>Not started</x:v>
      </x:c>
      <x:c r="F29" s="67" t="str">
        <x:v>Not yet implemented; follow approved V3 handoff.</x:v>
      </x:c>
      <x:c r="G29" s="67" t="str">
        <x:v>Codex: implement in assigned step</x:v>
      </x:c>
      <x:c r="H29" s="68"/>
      <x:c r="I29" s="68"/>
      <x:c r="J29" s="67"/>
      <x:c r="K29" s="67"/>
      <x:c r="L29" s="67"/>
      <x:c r="M29" s="67"/>
    </x:row>
    <x:row r="30" ht="26" customHeight="1">
      <x:c r="A30" s="66" t="str">
        <x:v>B31</x:v>
      </x:c>
      <x:c r="B30" s="67" t="str">
        <x:v>Step 12 · Quality</x:v>
      </x:c>
      <x:c r="C30" s="67" t="str">
        <x:v>Real PostgreSQL integration/Playwright tests and EXPLAIN ANALYZE</x:v>
      </x:c>
      <x:c r="D30" s="67" t="str">
        <x:v>Backend</x:v>
      </x:c>
      <x:c r="E30" s="67" t="str">
        <x:v>Not started</x:v>
      </x:c>
      <x:c r="F30" s="67" t="str">
        <x:v>Not yet implemented; follow approved V3 handoff.</x:v>
      </x:c>
      <x:c r="G30" s="67" t="str">
        <x:v>Codex: implement in assigned step</x:v>
      </x:c>
      <x:c r="H30" s="68"/>
      <x:c r="I30" s="68"/>
      <x:c r="J30" s="67"/>
      <x:c r="K30" s="67"/>
      <x:c r="L30" s="67"/>
      <x:c r="M30" s="67"/>
    </x:row>
    <x:row r="31" ht="26" customHeight="1">
      <x:c r="A31" s="66" t="str">
        <x:v>B32</x:v>
      </x:c>
      <x:c r="B31" s="67" t="str">
        <x:v>Step 12 · Security</x:v>
      </x:c>
      <x:c r="C31" s="67" t="str">
        <x:v>Access control, PDPA, headers, secrets and rate-limit audit</x:v>
      </x:c>
      <x:c r="D31" s="67" t="str">
        <x:v>Backend</x:v>
      </x:c>
      <x:c r="E31" s="67" t="str">
        <x:v>Not started</x:v>
      </x:c>
      <x:c r="F31" s="67" t="str">
        <x:v>Not yet implemented; follow approved V3 handoff.</x:v>
      </x:c>
      <x:c r="G31" s="67" t="str">
        <x:v>Codex: implement in assigned step</x:v>
      </x:c>
      <x:c r="H31" s="68"/>
      <x:c r="I31" s="68"/>
      <x:c r="J31" s="67"/>
      <x:c r="K31" s="67"/>
      <x:c r="L31" s="67"/>
      <x:c r="M31" s="67"/>
    </x:row>
    <x:row r="32" ht="26" customHeight="1">
      <x:c r="A32" s="66" t="str">
        <x:v>B33</x:v>
      </x:c>
      <x:c r="B32" s="67" t="str">
        <x:v>Step 7 · Owners</x:v>
      </x:c>
      <x:c r="C32" s="67" t="str">
        <x:v>Home-value and service enquiry data handling</x:v>
      </x:c>
      <x:c r="D32" s="67" t="str">
        <x:v>Backend</x:v>
      </x:c>
      <x:c r="E32" s="67" t="str">
        <x:v>Not started</x:v>
      </x:c>
      <x:c r="F32" s="67" t="str">
        <x:v>Not yet implemented; follow approved V3 handoff.</x:v>
      </x:c>
      <x:c r="G32" s="67" t="str">
        <x:v>Codex: implement in assigned step</x:v>
      </x:c>
      <x:c r="H32" s="68"/>
      <x:c r="I32" s="68"/>
      <x:c r="J32" s="67"/>
      <x:c r="K32" s="67"/>
      <x:c r="L32" s="67"/>
      <x:c r="M32" s="67"/>
    </x:row>
    <x:row r="33" ht="26" customHeight="1">
      <x:c r="A33" s="56"/>
      <x:c r="B33" s="57"/>
      <x:c r="C33" s="57"/>
      <x:c r="D33" s="57"/>
      <x:c r="E33" s="57"/>
      <x:c r="F33" s="57"/>
      <x:c r="G33" s="57"/>
      <x:c r="H33" s="58"/>
      <x:c r="I33" s="58"/>
      <x:c r="J33" s="57"/>
      <x:c r="K33" s="57"/>
      <x:c r="L33" s="57"/>
      <x:c r="M33" s="57"/>
    </x:row>
    <x:row r="34" ht="26" customHeight="1">
      <x:c r="A34" s="56"/>
      <x:c r="B34" s="57"/>
      <x:c r="C34" s="57"/>
      <x:c r="D34" s="57"/>
      <x:c r="E34" s="57"/>
      <x:c r="F34" s="57"/>
      <x:c r="G34" s="57"/>
      <x:c r="H34" s="58"/>
      <x:c r="I34" s="58"/>
      <x:c r="J34" s="57"/>
      <x:c r="K34" s="57"/>
      <x:c r="L34" s="57"/>
      <x:c r="M34" s="57"/>
    </x:row>
    <x:row r="35" ht="26" customHeight="1">
      <x:c r="A35" s="56"/>
      <x:c r="B35" s="57"/>
      <x:c r="C35" s="57"/>
      <x:c r="D35" s="57"/>
      <x:c r="E35" s="57"/>
      <x:c r="F35" s="57"/>
      <x:c r="G35" s="57"/>
      <x:c r="H35" s="58"/>
      <x:c r="I35" s="58"/>
      <x:c r="J35" s="57"/>
      <x:c r="K35" s="57"/>
      <x:c r="L35" s="57"/>
      <x:c r="M35" s="57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36" priority="1">
      <x:formula>$E6="Pending"</x:formula>
    </x:cfRule>
    <x:cfRule type="expression" dxfId="37" priority="2">
      <x:formula>$E6="Done"</x:formula>
    </x:cfRule>
    <x:cfRule type="expression" dxfId="38" priority="3">
      <x:formula>$E6="Not started"</x:formula>
    </x:cfRule>
  </x:conditionalFormatting>
  <x:dataValidations count="3">
    <x:dataValidation type="list" sqref="E36:E40">
      <x:formula1>"Done,Pending,Not started"</x:formula1>
    </x:dataValidation>
    <x:dataValidation type="list" sqref="E33:E35">
      <x:formula1>"Done,Pending,Not started"</x:formula1>
    </x:dataValidation>
    <x:dataValidation type="list" sqref="E6:E3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204676537644da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66" t="str">
        <x:v>E01</x:v>
      </x:c>
      <x:c r="B6" s="67" t="str">
        <x:v>Step 6 · Email</x:v>
      </x:c>
      <x:c r="C6" s="67" t="str">
        <x:v>Enquiry notification with retryable queue/outbox</x:v>
      </x:c>
      <x:c r="D6" s="67" t="str">
        <x:v>Email</x:v>
      </x:c>
      <x:c r="E6" s="67" t="str">
        <x:v>Not started</x:v>
      </x:c>
      <x:c r="F6" s="67" t="str">
        <x:v>Not yet implemented; follow approved V3 handoff.</x:v>
      </x:c>
      <x:c r="G6" s="67" t="str">
        <x:v>Codex: implement in assigned step</x:v>
      </x:c>
      <x:c r="H6" s="68"/>
      <x:c r="I6" s="68"/>
      <x:c r="J6" s="67"/>
      <x:c r="K6" s="67"/>
      <x:c r="L6" s="67"/>
      <x:c r="M6" s="67"/>
    </x:row>
    <x:row r="7" ht="26" customHeight="1">
      <x:c r="A7" s="66" t="str">
        <x:v>E02</x:v>
      </x:c>
      <x:c r="B7" s="67" t="str">
        <x:v>Step 6 · Email</x:v>
      </x:c>
      <x:c r="C7" s="67" t="str">
        <x:v>Thai and English buyer enquiry acknowledgments</x:v>
      </x:c>
      <x:c r="D7" s="67" t="str">
        <x:v>Email</x:v>
      </x:c>
      <x:c r="E7" s="67" t="str">
        <x:v>Not started</x:v>
      </x:c>
      <x:c r="F7" s="67" t="str">
        <x:v>Not yet implemented; follow approved V3 handoff.</x:v>
      </x:c>
      <x:c r="G7" s="67" t="str">
        <x:v>Codex: implement in assigned step</x:v>
      </x:c>
      <x:c r="H7" s="68"/>
      <x:c r="I7" s="68"/>
      <x:c r="J7" s="67"/>
      <x:c r="K7" s="67"/>
      <x:c r="L7" s="67"/>
      <x:c r="M7" s="67"/>
    </x:row>
    <x:row r="8" ht="26" customHeight="1">
      <x:c r="A8" s="66" t="str">
        <x:v>E03</x:v>
      </x:c>
      <x:c r="B8" s="67" t="str">
        <x:v>Step 8 · Email</x:v>
      </x:c>
      <x:c r="C8" s="67" t="str">
        <x:v>Project brochure/price list email delivery</x:v>
      </x:c>
      <x:c r="D8" s="67" t="str">
        <x:v>Email</x:v>
      </x:c>
      <x:c r="E8" s="67" t="str">
        <x:v>Not started</x:v>
      </x:c>
      <x:c r="F8" s="67" t="str">
        <x:v>Not yet implemented; follow approved V3 handoff.</x:v>
      </x:c>
      <x:c r="G8" s="67" t="str">
        <x:v>Codex: implement in assigned step</x:v>
      </x:c>
      <x:c r="H8" s="68"/>
      <x:c r="I8" s="68"/>
      <x:c r="J8" s="67"/>
      <x:c r="K8" s="67"/>
      <x:c r="L8" s="67"/>
      <x:c r="M8" s="67"/>
    </x:row>
    <x:row r="9" ht="26" customHeight="1">
      <x:c r="A9" s="66" t="str">
        <x:v>E04</x:v>
      </x:c>
      <x:c r="B9" s="67" t="str">
        <x:v>Step 8 · Email</x:v>
      </x:c>
      <x:c r="C9" s="67" t="str">
        <x:v>Site visit request and confirmation notifications</x:v>
      </x:c>
      <x:c r="D9" s="67" t="str">
        <x:v>Email</x:v>
      </x:c>
      <x:c r="E9" s="67" t="str">
        <x:v>Not started</x:v>
      </x:c>
      <x:c r="F9" s="67" t="str">
        <x:v>Not yet implemented; follow approved V3 handoff.</x:v>
      </x:c>
      <x:c r="G9" s="67" t="str">
        <x:v>Codex: implement in assigned step</x:v>
      </x:c>
      <x:c r="H9" s="68"/>
      <x:c r="I9" s="68"/>
      <x:c r="J9" s="67"/>
      <x:c r="K9" s="67"/>
      <x:c r="L9" s="67"/>
      <x:c r="M9" s="67"/>
    </x:row>
    <x:row r="10" ht="26" customHeight="1">
      <x:c r="A10" s="66" t="str">
        <x:v>E05</x:v>
      </x:c>
      <x:c r="B10" s="67" t="str">
        <x:v>Step 9 · Alerts</x:v>
      </x:c>
      <x:c r="C10" s="67" t="str">
        <x:v>Instant/daily saved search email alerts for signed-in users</x:v>
      </x:c>
      <x:c r="D10" s="67" t="str">
        <x:v>Email</x:v>
      </x:c>
      <x:c r="E10" s="67" t="str">
        <x:v>Not started</x:v>
      </x:c>
      <x:c r="F10" s="67" t="str">
        <x:v>Not yet implemented; follow approved V3 handoff.</x:v>
      </x:c>
      <x:c r="G10" s="67" t="str">
        <x:v>Codex: implement in assigned step</x:v>
      </x:c>
      <x:c r="H10" s="68"/>
      <x:c r="I10" s="68"/>
      <x:c r="J10" s="67"/>
      <x:c r="K10" s="67"/>
      <x:c r="L10" s="67"/>
      <x:c r="M10" s="67"/>
    </x:row>
    <x:row r="11" ht="26" customHeight="1">
      <x:c r="A11" s="66" t="str">
        <x:v>E06</x:v>
      </x:c>
      <x:c r="B11" s="67" t="str">
        <x:v>Step 10B · Email</x:v>
      </x:c>
      <x:c r="C11" s="67" t="str">
        <x:v>Account verification and recovery messages if email auth approved</x:v>
      </x:c>
      <x:c r="D11" s="67" t="str">
        <x:v>Email</x:v>
      </x:c>
      <x:c r="E11" s="67" t="str">
        <x:v>Not started</x:v>
      </x:c>
      <x:c r="F11" s="67" t="str">
        <x:v>Not yet implemented; follow approved V3 handoff.</x:v>
      </x:c>
      <x:c r="G11" s="67" t="str">
        <x:v>Codex: implement in assigned step</x:v>
      </x:c>
      <x:c r="H11" s="68"/>
      <x:c r="I11" s="68"/>
      <x:c r="J11" s="67"/>
      <x:c r="K11" s="67"/>
      <x:c r="L11" s="67"/>
      <x:c r="M11" s="67"/>
    </x:row>
    <x:row r="12" ht="26" customHeight="1">
      <x:c r="A12" s="66" t="str">
        <x:v>E07</x:v>
      </x:c>
      <x:c r="B12" s="67" t="str">
        <x:v>Step 11B · Email</x:v>
      </x:c>
      <x:c r="C12" s="67" t="str">
        <x:v>Agent notification/routing administration</x:v>
      </x:c>
      <x:c r="D12" s="67" t="str">
        <x:v>Email</x:v>
      </x:c>
      <x:c r="E12" s="67" t="str">
        <x:v>Not started</x:v>
      </x:c>
      <x:c r="F12" s="67" t="str">
        <x:v>Not yet implemented; follow approved V3 handoff.</x:v>
      </x:c>
      <x:c r="G12" s="67" t="str">
        <x:v>Codex: implement in assigned step</x:v>
      </x:c>
      <x:c r="H12" s="68"/>
      <x:c r="I12" s="68"/>
      <x:c r="J12" s="67"/>
      <x:c r="K12" s="67"/>
      <x:c r="L12" s="67"/>
      <x:c r="M12" s="67"/>
    </x:row>
    <x:row r="13" ht="26" customHeight="1">
      <x:c r="A13" s="66" t="str">
        <x:v>E08</x:v>
      </x:c>
      <x:c r="B13" s="67" t="str">
        <x:v>Step 7 · Email</x:v>
      </x:c>
      <x:c r="C13" s="67" t="str">
        <x:v>Home valuation and service enquiry replies</x:v>
      </x:c>
      <x:c r="D13" s="67" t="str">
        <x:v>Email</x:v>
      </x:c>
      <x:c r="E13" s="67" t="str">
        <x:v>Not started</x:v>
      </x:c>
      <x:c r="F13" s="67" t="str">
        <x:v>Not yet implemented; follow approved V3 handoff.</x:v>
      </x:c>
      <x:c r="G13" s="67" t="str">
        <x:v>Codex: implement in assigned step</x:v>
      </x:c>
      <x:c r="H13" s="68"/>
      <x:c r="I13" s="68"/>
      <x:c r="J13" s="67"/>
      <x:c r="K13" s="67"/>
      <x:c r="L13" s="67"/>
      <x:c r="M13" s="67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39" priority="1">
      <x:formula>$E6="Pending"</x:formula>
    </x:cfRule>
    <x:cfRule type="expression" dxfId="40" priority="2">
      <x:formula>$E6="Done"</x:formula>
    </x:cfRule>
    <x:cfRule type="expression" dxfId="41" priority="3">
      <x:formula>$E6="Not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23c7a382534c0b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9" t="str">
        <x:v>B34</x:v>
      </x:c>
      <x:c r="B6" s="69" t="str">
        <x:v>Step 1 · Health</x:v>
      </x:c>
      <x:c r="C6" s="69" t="str">
        <x:v>Basic /api/health endpoint with accurate application and database status</x:v>
      </x:c>
      <x:c r="D6" s="69" t="str">
        <x:v>Backend</x:v>
      </x:c>
      <x:c r="E6" s="69" t="str">
        <x:v>Done</x:v>
      </x:c>
      <x:c r="F6" s="69" t="str">
        <x:v>Real /api/health now probes the migrated public view rather than an empty database select 1. Actual 200/ready true, stopped-DB 503/unavailable/ready false and recovery to 200 verified.</x:v>
      </x:c>
      <x:c r="G6" s="69" t="str">
        <x:v>Codex: retain truthful readiness and generic errors; start localhost only under owner/test authorization.</x:v>
      </x:c>
      <x:c r="H6" s="70" t="d">
        <x:v>2026-10-09T00:00:00.000Z</x:v>
      </x:c>
      <x:c r="I6" s="70" t="d">
        <x:v>2026-10-09T00:00:00.000Z</x:v>
      </x:c>
      <x:c r="J6" s="6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9" t="str">
        <x:v>Preceding V5 commit 6e3d7d9 pushed. This Step 2 commit/push is verified during finalization; exact hash is in final report. If final push/sync fails, B01-B04/B34 must revert to Pending.</x:v>
      </x:c>
      <x:c r="L6" s="69" t="str">
        <x:v>44 baseline Git/live hashes matched before changes. Intended code/config/docs/tracker compared and synchronized; final SHA-256 check required before report. Credentials/runtime/deps/caches excluded.</x:v>
      </x:c>
      <x:c r="M6" s="69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69" t="str">
        <x:v>B01</x:v>
      </x:c>
      <x:c r="B7" s="69" t="str">
        <x:v>Step 2 · Database</x:v>
      </x:c>
      <x:c r="C7" s="69" t="str">
        <x:v>PostgreSQL/Drizzle schema for listings, projects, agents and users</x:v>
      </x:c>
      <x:c r="D7" s="69" t="str">
        <x:v>Backend</x:v>
      </x:c>
      <x:c r="E7" s="69" t="str">
        <x:v>Done</x:v>
      </x:c>
      <x:c r="F7" s="69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69" t="str">
        <x:v>Codex: preserve schema/security contracts in later explicitly authorized stages.</x:v>
      </x:c>
      <x:c r="H7" s="70" t="d">
        <x:v>2026-10-09T00:00:00.000Z</x:v>
      </x:c>
      <x:c r="I7" s="70" t="d">
        <x:v>2026-10-09T00:00:00.000Z</x:v>
      </x:c>
      <x:c r="J7" s="6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69" t="str">
        <x:v>Preceding V5 commit 6e3d7d9 pushed. This Step 2 commit/push is verified during finalization; exact hash is in final report. If final push/sync fails, B01-B04/B34 must revert to Pending.</x:v>
      </x:c>
      <x:c r="L7" s="69" t="str">
        <x:v>44 baseline Git/live hashes matched before changes. Intended code/config/docs/tracker compared and synchronized; final SHA-256 check required before report. Credentials/runtime/deps/caches excluded.</x:v>
      </x:c>
      <x:c r="M7" s="69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69" t="str">
        <x:v>B02</x:v>
      </x:c>
      <x:c r="B8" s="69" t="str">
        <x:v>Step 2 · Database</x:v>
      </x:c>
      <x:c r="C8" s="69" t="str">
        <x:v>Migrations, foreign keys, constraints and rollback procedure</x:v>
      </x:c>
      <x:c r="D8" s="69" t="str">
        <x:v>Backend</x:v>
      </x:c>
      <x:c r="E8" s="69" t="str">
        <x:v>Done</x:v>
      </x:c>
      <x:c r="F8" s="69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69" t="str">
        <x:v>Codex: generate reviewed additive migrations for later changes; production migration requires authorization and verified backup.</x:v>
      </x:c>
      <x:c r="H8" s="70" t="d">
        <x:v>2026-10-09T00:00:00.000Z</x:v>
      </x:c>
      <x:c r="I8" s="70" t="d">
        <x:v>2026-10-09T00:00:00.000Z</x:v>
      </x:c>
      <x:c r="J8" s="6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69" t="str">
        <x:v>Preceding V5 commit 6e3d7d9 pushed. This Step 2 commit/push is verified during finalization; exact hash is in final report. If final push/sync fails, B01-B04/B34 must revert to Pending.</x:v>
      </x:c>
      <x:c r="L8" s="69" t="str">
        <x:v>44 baseline Git/live hashes matched before changes. Intended code/config/docs/tracker compared and synchronized; final SHA-256 check required before report. Credentials/runtime/deps/caches excluded.</x:v>
      </x:c>
      <x:c r="M8" s="69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69" t="str">
        <x:v>B03</x:v>
      </x:c>
      <x:c r="B9" s="69" t="str">
        <x:v>Step 2 · Demo</x:v>
      </x:c>
      <x:c r="C9" s="69" t="str">
        <x:v>Clearly fictional seed listings, projects and agents</x:v>
      </x:c>
      <x:c r="D9" s="69" t="str">
        <x:v>Backend</x:v>
      </x:c>
      <x:c r="E9" s="69" t="str">
        <x:v>Done</x:v>
      </x:c>
      <x:c r="F9" s="69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69" t="str">
        <x:v>Codex: keep demo data labelled and excluded from genuine inventory; seed only named local dev/test databases.</x:v>
      </x:c>
      <x:c r="H9" s="70" t="d">
        <x:v>2026-10-09T00:00:00.000Z</x:v>
      </x:c>
      <x:c r="I9" s="70" t="d">
        <x:v>2026-10-09T00:00:00.000Z</x:v>
      </x:c>
      <x:c r="J9" s="6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69" t="str">
        <x:v>Preceding V5 commit 6e3d7d9 pushed. This Step 2 commit/push is verified during finalization; exact hash is in final report. If final push/sync fails, B01-B04/B34 must revert to Pending.</x:v>
      </x:c>
      <x:c r="L9" s="69" t="str">
        <x:v>44 baseline Git/live hashes matched before changes. Intended code/config/docs/tracker compared and synchronized; final SHA-256 check required before report. Credentials/runtime/deps/caches excluded.</x:v>
      </x:c>
      <x:c r="M9" s="69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69" t="str">
        <x:v>B04</x:v>
      </x:c>
      <x:c r="B10" s="69" t="str">
        <x:v>Step 2 · Search</x:v>
      </x:c>
      <x:c r="C10" s="69" t="str">
        <x:v>Indexes for status, intent, type, price, location and title</x:v>
      </x:c>
      <x:c r="D10" s="69" t="str">
        <x:v>Backend</x:v>
      </x:c>
      <x:c r="E10" s="69" t="str">
        <x:v>Done</x:v>
      </x:c>
      <x:c r="F10" s="69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69" t="str">
        <x:v>Codex: use parameterized typed queries in Step 3; profile against realistic volume during later QA.</x:v>
      </x:c>
      <x:c r="H10" s="70" t="d">
        <x:v>2026-10-09T00:00:00.000Z</x:v>
      </x:c>
      <x:c r="I10" s="70" t="d">
        <x:v>2026-10-09T00:00:00.000Z</x:v>
      </x:c>
      <x:c r="J10" s="6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69" t="str">
        <x:v>Preceding V5 commit 6e3d7d9 pushed. This Step 2 commit/push is verified during finalization; exact hash is in final report. If final push/sync fails, B01-B04/B34 must revert to Pending.</x:v>
      </x:c>
      <x:c r="L10" s="69" t="str">
        <x:v>44 baseline Git/live hashes matched before changes. Intended code/config/docs/tracker compared and synchronized; final SHA-256 check required before report. Credentials/runtime/deps/caches excluded.</x:v>
      </x:c>
      <x:c r="M10" s="69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400" customHeight="1">
      <x:c r="A11" s="69" t="str">
        <x:v>F08</x:v>
      </x:c>
      <x:c r="B11" s="69" t="str">
        <x:v>Step 3 · Cards</x:v>
      </x:c>
      <x:c r="C11" s="69" t="str">
        <x:v>Realtor-style 3:2 listing cards, photo controls, bottom-right save heart, facts/address and Contact agent dialog trigger</x:v>
      </x:c>
      <x:c r="D11" s="69" t="str">
        <x:v>Frontend</x:v>
      </x:c>
      <x:c r="E11" s="69" t="str">
        <x:v>Done</x:v>
      </x:c>
      <x:c r="F11" s="69" t="str">
        <x:v>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</x:v>
      </x:c>
      <x:c r="G11" s="69" t="str">
        <x:v>Codex: preserve these tested Step 3 contracts. Stop before Step 4; implement maps, real enquiry submission, homepage carousel and Saved page only in their authorized stages.</x:v>
      </x:c>
      <x:c r="H11" s="70" t="d">
        <x:v>2026-10-09T00:00:00.000Z</x:v>
      </x:c>
      <x:c r="I11" s="70" t="d">
        <x:v>2026-10-09T00:00:00.000Z</x:v>
      </x:c>
      <x:c r="J11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1" s="69" t="str">
        <x:v>Preceding Claude handoff commit 9327797 pushed. Step 3 commit/push verified at finalization; exact hash is supplied in final report. Revert affected status to Pending if final push or sync fails.</x:v>
      </x:c>
      <x:c r="L11" s="69" t="str">
        <x:v>59 baseline Git/live hashes matched before work; safe intended source/config/docs/tracker sync and final SHA-256 verification required. Credentials, cluster, backups, dependencies and caches excluded.</x:v>
      </x:c>
      <x:c r="M11" s="69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
2026-10-09 Step 3: 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2" ht="400" customHeight="1">
      <x:c r="A12" s="69" t="str">
        <x:v>F09</x:v>
      </x:c>
      <x:c r="B12" s="69" t="str">
        <x:v>Step 3 · Results</x:v>
      </x:c>
      <x:c r="C12" s="69" t="str">
        <x:v>Responsive /buy, /rent and /invest results layouts</x:v>
      </x:c>
      <x:c r="D12" s="69" t="str">
        <x:v>Frontend</x:v>
      </x:c>
      <x:c r="E12" s="69" t="str">
        <x:v>Done</x:v>
      </x:c>
      <x:c r="F12" s="69" t="str">
        <x:v>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</x:v>
      </x:c>
      <x:c r="G12" s="69" t="str">
        <x:v>Codex: preserve these tested Step 3 contracts. Stop before Step 4; implement maps, real enquiry submission, homepage carousel and Saved page only in their authorized stages.</x:v>
      </x:c>
      <x:c r="H12" s="70" t="d">
        <x:v>2026-10-09T00:00:00.000Z</x:v>
      </x:c>
      <x:c r="I12" s="70" t="d">
        <x:v>2026-10-09T00:00:00.000Z</x:v>
      </x:c>
      <x:c r="J12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2" s="69" t="str">
        <x:v>Preceding Claude handoff commit 9327797 pushed. Step 3 commit/push verified at finalization; exact hash is supplied in final report. Revert affected status to Pending if final push or sync fails.</x:v>
      </x:c>
      <x:c r="L12" s="69" t="str">
        <x:v>59 baseline Git/live hashes matched before work; safe intended source/config/docs/tracker sync and final SHA-256 verification required. Credentials, cluster, backups, dependencies and caches excluded.</x:v>
      </x:c>
      <x:c r="M12" s="69" t="str">
        <x:v>Original planning evidence: Not yet implemented; follow approved V3 handoff.
2026-10-09 Step 3: 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3" ht="400" customHeight="1">
      <x:c r="A13" s="69" t="str">
        <x:v>F10</x:v>
      </x:c>
      <x:c r="B13" s="69" t="str">
        <x:v>Step 3 · Filters</x:v>
      </x:c>
      <x:c r="C13" s="69" t="str">
        <x:v>Shared URL filters, active chips, sorting and navigation history</x:v>
      </x:c>
      <x:c r="D13" s="69" t="str">
        <x:v>Frontend</x:v>
      </x:c>
      <x:c r="E13" s="69" t="str">
        <x:v>Done</x:v>
      </x:c>
      <x:c r="F13" s="69" t="str">
        <x:v>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</x:v>
      </x:c>
      <x:c r="G13" s="69" t="str">
        <x:v>Codex: preserve these tested Step 3 contracts. Stop before Step 4; implement maps, real enquiry submission, homepage carousel and Saved page only in their authorized stages.</x:v>
      </x:c>
      <x:c r="H13" s="70" t="d">
        <x:v>2026-10-09T00:00:00.000Z</x:v>
      </x:c>
      <x:c r="I13" s="70" t="d">
        <x:v>2026-10-09T00:00:00.000Z</x:v>
      </x:c>
      <x:c r="J13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3" s="69" t="str">
        <x:v>Preceding Claude handoff commit 9327797 pushed. Step 3 commit/push verified at finalization; exact hash is supplied in final report. Revert affected status to Pending if final push or sync fails.</x:v>
      </x:c>
      <x:c r="L13" s="69" t="str">
        <x:v>59 baseline Git/live hashes matched before work; safe intended source/config/docs/tracker sync and final SHA-256 verification required. Credentials, cluster, backups, dependencies and caches excluded.</x:v>
      </x:c>
      <x:c r="M13" s="69" t="str">
        <x:v>Original planning evidence: Not yet implemented; follow approved V3 handoff.
2026-10-09 Step 3: 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4" ht="400" customHeight="1">
      <x:c r="A14" s="69" t="str">
        <x:v>F11</x:v>
      </x:c>
      <x:c r="B14" s="69" t="str">
        <x:v>Step 3 · Filters</x:v>
      </x:c>
      <x:c r="C14" s="69" t="str">
        <x:v>Desktop popovers for price, beds, type and advanced filters</x:v>
      </x:c>
      <x:c r="D14" s="69" t="str">
        <x:v>Frontend</x:v>
      </x:c>
      <x:c r="E14" s="69" t="str">
        <x:v>Done</x:v>
      </x:c>
      <x:c r="F14" s="69" t="str">
        <x:v>Accessible native-dialog desktop popovers for location, intent, price, beds, property types and advanced/DB-defined typed filters. Actual metadata options and live price count tested; Escape, focus trapping and focus restoration verified.</x:v>
      </x:c>
      <x:c r="G14" s="69" t="str">
        <x:v>Codex: preserve these tested Step 3 contracts. Stop before Step 4; implement maps, real enquiry submission, homepage carousel and Saved page only in their authorized stages.</x:v>
      </x:c>
      <x:c r="H14" s="70" t="d">
        <x:v>2026-10-09T00:00:00.000Z</x:v>
      </x:c>
      <x:c r="I14" s="70" t="d">
        <x:v>2026-10-09T00:00:00.000Z</x:v>
      </x:c>
      <x:c r="J14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4" s="69" t="str">
        <x:v>Preceding Claude handoff commit 9327797 pushed. Step 3 commit/push verified at finalization; exact hash is supplied in final report. Revert affected status to Pending if final push or sync fails.</x:v>
      </x:c>
      <x:c r="L14" s="69" t="str">
        <x:v>59 baseline Git/live hashes matched before work; safe intended source/config/docs/tracker sync and final SHA-256 verification required. Credentials, cluster, backups, dependencies and caches excluded.</x:v>
      </x:c>
      <x:c r="M14" s="69" t="str">
        <x:v>Original planning evidence: Not yet implemented; follow approved V3 handoff.
2026-10-09 Step 3: Accessible native-dialog desktop popovers for location, intent, price, beds, property types and advanced/DB-defined typed filters. Actual metadata options and live price count tested; Escape, focus trapping and focus restoration verified.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5" ht="400" customHeight="1">
      <x:c r="A15" s="69" t="str">
        <x:v>F12</x:v>
      </x:c>
      <x:c r="B15" s="69" t="str">
        <x:v>Step 3 · Filters</x:v>
      </x:c>
      <x:c r="C15" s="69" t="str">
        <x:v>Phone full-screen filter sheet, Apply and Clear</x:v>
      </x:c>
      <x:c r="D15" s="69" t="str">
        <x:v>Frontend</x:v>
      </x:c>
      <x:c r="E15" s="69" t="str">
        <x:v>Done</x:v>
      </x:c>
      <x:c r="F15" s="69" t="str">
        <x:v>Phone full-screen filter sheets with Apply/Clear, labels, focus controls and no page overflow. Native Chromium phone input proves card swipe; UI checked at 390/768/1024/1440 in Thai/English.</x:v>
      </x:c>
      <x:c r="G15" s="69" t="str">
        <x:v>Codex: preserve these tested Step 3 contracts. Stop before Step 4; implement maps, real enquiry submission, homepage carousel and Saved page only in their authorized stages.</x:v>
      </x:c>
      <x:c r="H15" s="70" t="d">
        <x:v>2026-10-09T00:00:00.000Z</x:v>
      </x:c>
      <x:c r="I15" s="70" t="d">
        <x:v>2026-10-09T00:00:00.000Z</x:v>
      </x:c>
      <x:c r="J15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5" s="69" t="str">
        <x:v>Preceding Claude handoff commit 9327797 pushed. Step 3 commit/push verified at finalization; exact hash is supplied in final report. Revert affected status to Pending if final push or sync fails.</x:v>
      </x:c>
      <x:c r="L15" s="69" t="str">
        <x:v>59 baseline Git/live hashes matched before work; safe intended source/config/docs/tracker sync and final SHA-256 verification required. Credentials, cluster, backups, dependencies and caches excluded.</x:v>
      </x:c>
      <x:c r="M15" s="69" t="str">
        <x:v>Original planning evidence: Not yet implemented; follow approved V3 handoff.
2026-10-09 Step 3: Phone full-screen filter sheets with Apply/Clear, labels, focus controls and no page overflow. Native Chromium phone input proves card swipe; UI checked at 390/768/1024/1440 in Thai/English.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6" ht="400" customHeight="1">
      <x:c r="A16" s="69" t="str">
        <x:v>F13</x:v>
      </x:c>
      <x:c r="B16" s="69" t="str">
        <x:v>Step 3 · Search</x:v>
      </x:c>
      <x:c r="C16" s="69" t="str">
        <x:v>Database-derived price histogram and live result count</x:v>
      </x:c>
      <x:c r="D16" s="69" t="str">
        <x:v>Frontend</x:v>
      </x:c>
      <x:c r="E16" s="69" t="str">
        <x:v>Done</x:v>
      </x:c>
      <x:c r="F16" s="69" t="str">
        <x:v>Histogram uses actual matching PUBLIC-price rows, excluding only current min/max range. Gated prices are excluded from price predicates, price ordering and histogram. Debounced actual API count and bounded deterministic queries implemented.</x:v>
      </x:c>
      <x:c r="G16" s="69" t="str">
        <x:v>Codex: preserve these tested Step 3 contracts. Stop before Step 4; implement maps, real enquiry submission, homepage carousel and Saved page only in their authorized stages.</x:v>
      </x:c>
      <x:c r="H16" s="70" t="d">
        <x:v>2026-10-09T00:00:00.000Z</x:v>
      </x:c>
      <x:c r="I16" s="70" t="d">
        <x:v>2026-10-09T00:00:00.000Z</x:v>
      </x:c>
      <x:c r="J16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6" s="69" t="str">
        <x:v>Preceding Claude handoff commit 9327797 pushed. Step 3 commit/push verified at finalization; exact hash is supplied in final report. Revert affected status to Pending if final push or sync fails.</x:v>
      </x:c>
      <x:c r="L16" s="69" t="str">
        <x:v>59 baseline Git/live hashes matched before work; safe intended source/config/docs/tracker sync and final SHA-256 verification required. Credentials, cluster, backups, dependencies and caches excluded.</x:v>
      </x:c>
      <x:c r="M16" s="69" t="str">
        <x:v>Original planning evidence: Not yet implemented; follow approved V3 handoff.
2026-10-09 Step 3: Histogram uses actual matching PUBLIC-price rows, excluding only current min/max range. Gated prices are excluded from price predicates, price ordering and histogram. Debounced actual API count and bounded deterministic queries implemented.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7" ht="400" customHeight="1">
      <x:c r="A17" s="69" t="str">
        <x:v>B05</x:v>
      </x:c>
      <x:c r="B17" s="69" t="str">
        <x:v>Step 2 · Filters</x:v>
      </x:c>
      <x:c r="C17" s="69" t="str">
        <x:v>Configurable filter-definition/option tables with safe allowed query fields</x:v>
      </x:c>
      <x:c r="D17" s="69" t="str">
        <x:v>Backend</x:v>
      </x:c>
      <x:c r="E17" s="69" t="str">
        <x:v>Done</x:v>
      </x:c>
      <x:c r="F17" s="69" t="str">
        <x:v>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</x:v>
      </x:c>
      <x:c r="G17" s="69" t="str">
        <x:v>Codex: preserve these tested Step 3 contracts. Stop before Step 4; implement maps, real enquiry submission, homepage carousel and Saved page only in their authorized stages.</x:v>
      </x:c>
      <x:c r="H17" s="70" t="d">
        <x:v>2026-10-09T00:00:00.000Z</x:v>
      </x:c>
      <x:c r="I17" s="70" t="d">
        <x:v>2026-10-09T00:00:00.000Z</x:v>
      </x:c>
      <x:c r="J17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7" s="69" t="str">
        <x:v>Preceding Claude handoff commit 9327797 pushed. Step 3 commit/push verified at finalization; exact hash is supplied in final report. Revert affected status to Pending if final push or sync fails.</x:v>
      </x:c>
      <x:c r="L17" s="69" t="str">
        <x:v>59 baseline Git/live hashes matched before work; safe intended source/config/docs/tracker sync and final SHA-256 verification required. Credentials, cluster, backups, dependencies and caches excluded.</x:v>
      </x:c>
      <x:c r="M17" s="69" t="str">
        <x:v>Original planning evidence: Not yet implemented; follow approved V3 handoff.
2026-10-09 Step 3: 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8" ht="400" customHeight="1">
      <x:c r="A18" s="69" t="str">
        <x:v>B06</x:v>
      </x:c>
      <x:c r="B18" s="69" t="str">
        <x:v>Step 3 · Search</x:v>
      </x:c>
      <x:c r="C18" s="69" t="str">
        <x:v>Typed validated listing/search data access and pagination</x:v>
      </x:c>
      <x:c r="D18" s="69" t="str">
        <x:v>Backend</x:v>
      </x:c>
      <x:c r="E18" s="69" t="str">
        <x:v>Done</x:v>
      </x:c>
      <x:c r="F18" s="69" t="str">
        <x:v>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</x:v>
      </x:c>
      <x:c r="G18" s="69" t="str">
        <x:v>Codex: preserve these tested Step 3 contracts. Stop before Step 4; implement maps, real enquiry submission, homepage carousel and Saved page only in their authorized stages.</x:v>
      </x:c>
      <x:c r="H18" s="70" t="d">
        <x:v>2026-10-09T00:00:00.000Z</x:v>
      </x:c>
      <x:c r="I18" s="70" t="d">
        <x:v>2026-10-09T00:00:00.000Z</x:v>
      </x:c>
      <x:c r="J18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8" s="69" t="str">
        <x:v>Preceding Claude handoff commit 9327797 pushed. Step 3 commit/push verified at finalization; exact hash is supplied in final report. Revert affected status to Pending if final push or sync fails.</x:v>
      </x:c>
      <x:c r="L18" s="69" t="str">
        <x:v>59 baseline Git/live hashes matched before work; safe intended source/config/docs/tracker sync and final SHA-256 verification required. Credentials, cluster, backups, dependencies and caches excluded.</x:v>
      </x:c>
      <x:c r="M18" s="69" t="str">
        <x:v>Original planning evidence: Not yet implemented; follow approved V3 handoff.
2026-10-09 Step 3: 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9" ht="400" customHeight="1">
      <x:c r="A19" s="69" t="str">
        <x:v>B07</x:v>
      </x:c>
      <x:c r="B19" s="69" t="str">
        <x:v>Step 3 · Search</x:v>
      </x:c>
      <x:c r="C19" s="69" t="str">
        <x:v>Filter parsing, result counts, sort and histogram queries</x:v>
      </x:c>
      <x:c r="D19" s="69" t="str">
        <x:v>Backend</x:v>
      </x:c>
      <x:c r="E19" s="69" t="str">
        <x:v>Done</x:v>
      </x:c>
      <x:c r="F19" s="69" t="str">
        <x:v>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</x:v>
      </x:c>
      <x:c r="G19" s="69" t="str">
        <x:v>Codex: preserve these tested Step 3 contracts. Stop before Step 4; implement maps, real enquiry submission, homepage carousel and Saved page only in their authorized stages.</x:v>
      </x:c>
      <x:c r="H19" s="70" t="d">
        <x:v>2026-10-09T00:00:00.000Z</x:v>
      </x:c>
      <x:c r="I19" s="70" t="d">
        <x:v>2026-10-09T00:00:00.000Z</x:v>
      </x:c>
      <x:c r="J19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9" s="69" t="str">
        <x:v>Preceding Claude handoff commit 9327797 pushed. Step 3 commit/push verified at finalization; exact hash is supplied in final report. Revert affected status to Pending if final push or sync fails.</x:v>
      </x:c>
      <x:c r="L19" s="69" t="str">
        <x:v>59 baseline Git/live hashes matched before work; safe intended source/config/docs/tracker sync and final SHA-256 verification required. Credentials, cluster, backups, dependencies and caches excluded.</x:v>
      </x:c>
      <x:c r="M19" s="69" t="str">
        <x:v>Original planning evidence: Not yet implemented; follow approved V3 handoff.
2026-10-09 Step 3: 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0" ht="400" customHeight="1">
      <x:c r="A20" s="69" t="str">
        <x:v>R02</x:v>
      </x:c>
      <x:c r="B20" s="69" t="str">
        <x:v>Step 3 · Accessibility</x:v>
      </x:c>
      <x:c r="C20" s="69" t="str">
        <x:v>Fix contact autofocus and swipe/keyboard link handling (F01/F08)</x:v>
      </x:c>
      <x:c r="D20" s="69" t="str">
        <x:v>Frontend</x:v>
      </x:c>
      <x:c r="E20" s="69" t="str">
        <x:v>Done</x:v>
      </x:c>
      <x:c r="F20" s="69" t="str">
        <x:v>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</x:v>
      </x:c>
      <x:c r="G20" s="69" t="str">
        <x:v>Codex: preserve these tested Step 3 contracts. Stop before Step 4; implement maps, real enquiry submission, homepage carousel and Saved page only in their authorized stages.</x:v>
      </x:c>
      <x:c r="H20" s="70" t="d">
        <x:v>2026-10-09T00:00:00.000Z</x:v>
      </x:c>
      <x:c r="I20" s="70" t="d">
        <x:v>2026-10-09T00:00:00.000Z</x:v>
      </x:c>
      <x:c r="J20" s="6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20" s="69" t="str">
        <x:v>Preceding Claude handoff commit 9327797 pushed. Step 3 commit/push verified at finalization; exact hash is supplied in final report. Revert affected status to Pending if final push or sync fails.</x:v>
      </x:c>
      <x:c r="L20" s="69" t="str">
        <x:v>59 baseline Git/live hashes matched before work; safe intended source/config/docs/tracker sync and final SHA-256 verification required. Credentials, cluster, backups, dependencies and caches excluded.</x:v>
      </x:c>
      <x:c r="M20" s="69" t="str">
        <x:v>2026-10-09 discovered during Step 3 real browser testing: contact input lacked focus; swipe suppression blocked the next keyboard activation. Linked to F01/F08.
2026-10-09 Step 3: 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42" priority="1">
      <x:formula>$E6="Pending"</x:formula>
    </x:cfRule>
    <x:cfRule type="expression" dxfId="43" priority="2">
      <x:formula>$E6="Done"</x:formula>
    </x:cfRule>
    <x:cfRule type="expression" dxfId="44" priority="3">
      <x:formula>$E6="Not started"</x:formula>
    </x:cfRule>
  </x:conditionalFormatting>
  <x:dataValidations count="1">
    <x:dataValidation type="list" sqref="E6:E2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d186b9c102497d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3" t="str">
        <x:v>F02</x:v>
      </x:c>
      <x:c r="B6" s="64" t="str">
        <x:v>Decision · Branding</x:v>
      </x:c>
      <x:c r="C6" s="64" t="str">
        <x:v>Owner approves gold / blue / teal / coral accent</x:v>
      </x:c>
      <x:c r="D6" s="64" t="str">
        <x:v>Frontend</x:v>
      </x:c>
      <x:c r="E6" s="64" t="str">
        <x:v>Pending</x:v>
      </x:c>
      <x:c r="F6" s="6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64" t="str">
        <x:v>Codex: preserve existing approved shell; any separate foundation closeout must use the latest passing evidence. Contact details remain owner-supplied.</x:v>
      </x:c>
      <x:c r="H6" s="65" t="d">
        <x:v>2026-10-09T00:00:00.000Z</x:v>
      </x:c>
      <x:c r="I6" s="65" t="d">
        <x:v>2026-10-09T00:00:00.000Z</x:v>
      </x:c>
      <x:c r="J6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4" t="str">
        <x:v>Preceding V5 commit 6e3d7d9 pushed. This Step 2 commit/push is verified during finalization; exact hash is in final report. If final push/sync fails, B01-B04/B34 must revert to Pending.</x:v>
      </x:c>
      <x:c r="L6" s="64" t="str">
        <x:v>44 baseline Git/live hashes matched before changes. Intended code/config/docs/tracker compared and synchronized; final SHA-256 check required before report. Credentials/runtime/deps/caches excluded.</x:v>
      </x:c>
      <x:c r="M6" s="6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63" t="str">
        <x:v>F03</x:v>
      </x:c>
      <x:c r="B7" s="64" t="str">
        <x:v>Decision · Branding</x:v>
      </x:c>
      <x:c r="C7" s="64" t="str">
        <x:v>Provide final crest or horizontal logo for white header</x:v>
      </x:c>
      <x:c r="D7" s="64" t="str">
        <x:v>Frontend</x:v>
      </x:c>
      <x:c r="E7" s="64" t="str">
        <x:v>Pending</x:v>
      </x:c>
      <x:c r="F7" s="64" t="str">
        <x:v>Approved temporary crest extracted and implemented. Owner will provide final header logo later.</x:v>
      </x:c>
      <x:c r="G7" s="64" t="str">
        <x:v>Owner: supply final asset/version later; Codex: replace only approved logo.</x:v>
      </x:c>
      <x:c r="H7" s="65" t="d">
        <x:v>2026-10-09T00:00:00.000Z</x:v>
      </x:c>
      <x:c r="I7" s="65" t="d">
        <x:v>2026-10-09T00:00:00.000Z</x:v>
      </x:c>
      <x:c r="J7" s="6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64" t="str">
        <x:v>Preceding owner-decisions commit 3f56908 pushed. Foundation commit/push verified at finalization; final report identifies its hash.</x:v>
      </x:c>
      <x:c r="L7" s="64" t="str">
        <x:v>Baseline existing Git/live hashes matched. Intended foundation/docs/tracker safely synchronized and hash-checked at finalization; secrets/deps/caches excluded.</x:v>
      </x:c>
      <x:c r="M7" s="6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63" t="str">
        <x:v>F32</x:v>
      </x:c>
      <x:c r="B8" s="64" t="str">
        <x:v>Step 10A · Wireframe</x:v>
      </x:c>
      <x:c r="C8" s="64" t="str">
        <x:v>Owner-approved login/register/account wireframe before coding</x:v>
      </x:c>
      <x:c r="D8" s="64" t="str">
        <x:v>Frontend</x:v>
      </x:c>
      <x:c r="E8" s="64" t="str">
        <x:v>Pending</x:v>
      </x:c>
      <x:c r="F8" s="64" t="str">
        <x:v>Admin/account screens are not part of approved V3 visuals</x:v>
      </x:c>
      <x:c r="G8" s="64" t="str">
        <x:v>Codex: wireframe, owner: review and approve</x:v>
      </x:c>
      <x:c r="H8" s="65"/>
      <x:c r="I8" s="65"/>
      <x:c r="J8" s="64"/>
      <x:c r="K8" s="64"/>
      <x:c r="L8" s="64"/>
      <x:c r="M8" s="64"/>
    </x:row>
    <x:row r="9" ht="26" customHeight="1">
      <x:c r="A9" s="63" t="str">
        <x:v>F34</x:v>
      </x:c>
      <x:c r="B9" s="64" t="str">
        <x:v>Step 11A · Wireframe</x:v>
      </x:c>
      <x:c r="C9" s="64" t="str">
        <x:v>Owner-approved responsive admin dashboard wireframe</x:v>
      </x:c>
      <x:c r="D9" s="64" t="str">
        <x:v>Frontend</x:v>
      </x:c>
      <x:c r="E9" s="64" t="str">
        <x:v>Pending</x:v>
      </x:c>
      <x:c r="F9" s="64" t="str">
        <x:v>Admin UI not included in V3; design approval required</x:v>
      </x:c>
      <x:c r="G9" s="64" t="str">
        <x:v>Codex: wireframe, owner: review and approve</x:v>
      </x:c>
      <x:c r="H9" s="65"/>
      <x:c r="I9" s="65"/>
      <x:c r="J9" s="64"/>
      <x:c r="K9" s="64"/>
      <x:c r="L9" s="64"/>
      <x:c r="M9" s="64"/>
    </x:row>
    <x:row r="10" ht="310" customHeight="1">
      <x:c r="A10" s="63" t="str">
        <x:v>B09</x:v>
      </x:c>
      <x:c r="B10" s="64" t="str">
        <x:v>Decision · Map</x:v>
      </x:c>
      <x:c r="C10" s="64" t="str">
        <x:v>Select free open-source map library, tile/nearby provider and usage policy</x:v>
      </x:c>
      <x:c r="D10" s="64" t="str">
        <x:v>Backend</x:v>
      </x:c>
      <x:c r="E10" s="64" t="str">
        <x:v>Pending</x:v>
      </x:c>
      <x:c r="F10" s="64" t="str">
        <x:v>Owner/V5 require free open-source mapping. Concrete provider/library/policy remain unresolved; Step 2 makes no choice.</x:v>
      </x:c>
      <x:c r="G10" s="64" t="str">
        <x:v>Codex: present free options and wait for owner choice under Step 4 authorization.</x:v>
      </x:c>
      <x:c r="H10" s="65" t="d">
        <x:v>2026-10-09T00:00:00.000Z</x:v>
      </x:c>
      <x:c r="I10" s="65" t="d">
        <x:v>2026-10-09T00:00:00.000Z</x:v>
      </x:c>
      <x:c r="J10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64" t="str">
        <x:v>Preceding V5 commit 6e3d7d9 pushed. This Step 2 commit/push is verified during finalization; exact hash is in final report. If final push/sync fails, B01-B04/B34 must revert to Pending.</x:v>
      </x:c>
      <x:c r="L10" s="64" t="str">
        <x:v>44 baseline Git/live hashes matched before changes. Intended code/config/docs/tracker compared and synchronized; final SHA-256 check required before report. Credentials/runtime/deps/caches excluded.</x:v>
      </x:c>
      <x:c r="M10" s="6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63" t="str">
        <x:v>B17</x:v>
      </x:c>
      <x:c r="B11" s="64" t="str">
        <x:v>Decision · Leads</x:v>
      </x:c>
      <x:c r="C11" s="64" t="str">
        <x:v>Approve shared inbox versus listing agent enquiry destination</x:v>
      </x:c>
      <x:c r="D11" s="64" t="str">
        <x:v>Backend</x:v>
      </x:c>
      <x:c r="E11" s="64" t="str">
        <x:v>Pending</x:v>
      </x:c>
      <x:c r="F11" s="64" t="str">
        <x:v>BUILD-SPEC §12 #3 unresolved</x:v>
      </x:c>
      <x:c r="G11" s="64" t="str">
        <x:v>Owner: select routing mode and mailbox</x:v>
      </x:c>
      <x:c r="H11" s="65"/>
      <x:c r="I11" s="65"/>
      <x:c r="J11" s="64"/>
      <x:c r="K11" s="64"/>
      <x:c r="L11" s="64"/>
      <x:c r="M11" s="64"/>
    </x:row>
    <x:row r="12" ht="250" customHeight="1">
      <x:c r="A12" s="63" t="str">
        <x:v>B18</x:v>
      </x:c>
      <x:c r="B12" s="64" t="str">
        <x:v>Decision · Chat</x:v>
      </x:c>
      <x:c r="C12" s="64" t="str">
        <x:v>Approve company-wide versus per-agent LINE/WhatsApp IDs</x:v>
      </x:c>
      <x:c r="D12" s="64" t="str">
        <x:v>Backend</x:v>
      </x:c>
      <x:c r="E12" s="64" t="str">
        <x:v>Pending</x:v>
      </x:c>
      <x:c r="F12" s="64" t="str">
        <x:v>Approved LINE/WhatsApp buttons implemented, disabled until real destinations exist. No contact invented. Routing, contacts and active green/white contrast review remain pending.</x:v>
      </x:c>
      <x:c r="G12" s="64" t="str">
        <x:v>Owner: provide actual contacts/routing; Codex: integrate and review accessible contact actions later.</x:v>
      </x:c>
      <x:c r="H12" s="65" t="d">
        <x:v>2026-10-09T00:00:00.000Z</x:v>
      </x:c>
      <x:c r="I12" s="65" t="d">
        <x:v>2026-10-09T00:00:00.000Z</x:v>
      </x:c>
      <x:c r="J12" s="6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64" t="str">
        <x:v>Preceding owner-decisions commit 3f56908 pushed. Foundation commit/push verified at finalization; final report identifies its hash.</x:v>
      </x:c>
      <x:c r="L12" s="64" t="str">
        <x:v>Baseline existing Git/live hashes matched. Intended foundation/docs/tracker safely synchronized and hash-checked at finalization; secrets/deps/caches excluded.</x:v>
      </x:c>
      <x:c r="M12" s="6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63" t="str">
        <x:v>B23</x:v>
      </x:c>
      <x:c r="B13" s="64" t="str">
        <x:v>Decision · Accounts</x:v>
      </x:c>
      <x:c r="C13" s="64" t="str">
        <x:v>Approve LINE only or LINE+Google+email sign-in</x:v>
      </x:c>
      <x:c r="D13" s="64" t="str">
        <x:v>Backend</x:v>
      </x:c>
      <x:c r="E13" s="64" t="str">
        <x:v>Pending</x:v>
      </x:c>
      <x:c r="F13" s="64" t="str">
        <x:v>BUILD-SPEC §12 #5 unresolved</x:v>
      </x:c>
      <x:c r="G13" s="64" t="str">
        <x:v>Owner: approve authentication providers</x:v>
      </x:c>
      <x:c r="H13" s="65"/>
      <x:c r="I13" s="65"/>
      <x:c r="J13" s="64"/>
      <x:c r="K13" s="64"/>
      <x:c r="L13" s="64"/>
      <x:c r="M13" s="64"/>
    </x:row>
    <x:row r="14" ht="200" customHeight="1">
      <x:c r="A14" s="63" t="str">
        <x:v>B28</x:v>
      </x:c>
      <x:c r="B14" s="64" t="str">
        <x:v>Decision · Currency</x:v>
      </x:c>
      <x:c r="C14" s="64" t="str">
        <x:v>Approve THB only versus optional approximate FX display</x:v>
      </x:c>
      <x:c r="D14" s="64" t="str">
        <x:v>Backend</x:v>
      </x:c>
      <x:c r="E14" s="64" t="str">
        <x:v>Pending</x:v>
      </x:c>
      <x:c r="F14" s="64" t="str">
        <x:v>Owner selected USD (US dollars) and THB. Store THB base; display approximate USD using daily rates. Rate source not selected; code not built.</x:v>
      </x:c>
      <x:c r="G14" s="64" t="str">
        <x:v>Codex: implement USD/THB during authorized currency work; confirm rate source.</x:v>
      </x:c>
      <x:c r="H14" s="65"/>
      <x:c r="I14" s="65" t="d">
        <x:v>2026-10-09T00:00:00.000Z</x:v>
      </x:c>
      <x:c r="J14" s="64" t="str">
        <x:v>Documentation-only update. Tracker/source-hash/mirror checks performed. No UI/backend code changed. Real-app/DB tests not run; components absent.</x:v>
      </x:c>
      <x:c r="K14" s="64" t="str">
        <x:v>Preceding verification commit c600068 pushed. Decision update will be committed and verified; final report identifies its hash.</x:v>
      </x:c>
      <x:c r="L14" s="64" t="str">
        <x:v>Git/live matched before update. Changed documentation and canonical workbook mirrored only after divergence checks; final SHA-256 comparison required.</x:v>
      </x:c>
      <x:c r="M14" s="6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63" t="str">
        <x:v>B29</x:v>
      </x:c>
      <x:c r="B15" s="64" t="str">
        <x:v>Decision · Projects</x:v>
      </x:c>
      <x:c r="C15" s="64" t="str">
        <x:v>Approve public project prices versus enquiry-only price list</x:v>
      </x:c>
      <x:c r="D15" s="64" t="str">
        <x:v>Backend</x:v>
      </x:c>
      <x:c r="E15" s="64" t="str">
        <x:v>Pending</x:v>
      </x:c>
      <x:c r="F15" s="64" t="str">
        <x:v>Owner selected both public and contact-gated pricing, chosen by admin per listing/product or project. Choice recorded; implementation pending.</x:v>
      </x:c>
      <x:c r="G15" s="64" t="str">
        <x:v>Codex: add per-record price visibility in authorized backend/admin work after admin wireframe approval.</x:v>
      </x:c>
      <x:c r="H15" s="65"/>
      <x:c r="I15" s="65" t="d">
        <x:v>2026-10-09T00:00:00.000Z</x:v>
      </x:c>
      <x:c r="J15" s="64" t="str">
        <x:v>Documentation-only update. Tracker/source-hash/mirror checks performed. No UI/backend code changed. Real-app/DB tests not run; components absent.</x:v>
      </x:c>
      <x:c r="K15" s="64" t="str">
        <x:v>Preceding verification commit c600068 pushed. Decision update will be committed and verified; final report identifies its hash.</x:v>
      </x:c>
      <x:c r="L15" s="64" t="str">
        <x:v>Git/live matched before update. Changed documentation and canonical workbook mirrored only after divergence checks; final SHA-256 comparison required.</x:v>
      </x:c>
      <x:c r="M15" s="6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64" t="str">
        <x:v>R01</x:v>
      </x:c>
      <x:c r="B16" s="64" t="str">
        <x:v>Step 0 · Preparation</x:v>
      </x:c>
      <x:c r="C16" s="64" t="str">
        <x:v>Inspect project; establish permanent rules, documentation, Git/live mirror and tracker</x:v>
      </x:c>
      <x:c r="D16" s="64" t="str">
        <x:v>Backend</x:v>
      </x:c>
      <x:c r="E16" s="64" t="str">
        <x:v>Pending</x:v>
      </x:c>
      <x:c r="F16" s="6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64" t="str">
        <x:v>Codex: close the separate Step 0 utility/reference-review requirements only when authorized; stop before Step 3.</x:v>
      </x:c>
      <x:c r="H16" s="65" t="d">
        <x:v>2026-10-09T00:00:00.000Z</x:v>
      </x:c>
      <x:c r="I16" s="65" t="d">
        <x:v>2026-10-09T00:00:00.000Z</x:v>
      </x:c>
      <x:c r="J16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64" t="str">
        <x:v>Preceding V5 commit 6e3d7d9 pushed. This Step 2 commit/push is verified during finalization; exact hash is in final report. If final push/sync fails, B01-B04/B34 must revert to Pending.</x:v>
      </x:c>
      <x:c r="L16" s="64" t="str">
        <x:v>44 baseline Git/live hashes matched before changes. Intended code/config/docs/tracker compared and synchronized; final SHA-256 check required before report. Credentials/runtime/deps/caches excluded.</x:v>
      </x:c>
      <x:c r="M16" s="6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7" ht="310" customHeight="1">
      <x:c r="A17" s="64" t="str">
        <x:v>F01</x:v>
      </x:c>
      <x:c r="B17" s="64" t="str">
        <x:v>Step 1 · Design</x:v>
      </x:c>
      <x:c r="C17" s="64" t="str">
        <x:v>Approved V3 CSS tokens, Prompt/Noto Sans Thai fonts, shared UI primitives</x:v>
      </x:c>
      <x:c r="D17" s="64" t="str">
        <x:v>Frontend</x:v>
      </x:c>
      <x:c r="E17" s="64" t="str">
        <x:v>Pending</x:v>
      </x:c>
      <x:c r="F17" s="6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64" t="str">
        <x:v>Codex: preserve existing approved shell; any separate foundation closeout must use the latest passing evidence. Contact details remain owner-supplied.</x:v>
      </x:c>
      <x:c r="H17" s="65" t="d">
        <x:v>2026-10-09T00:00:00.000Z</x:v>
      </x:c>
      <x:c r="I17" s="65" t="d">
        <x:v>2026-10-09T00:00:00.000Z</x:v>
      </x:c>
      <x:c r="J17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64" t="str">
        <x:v>Preceding V5 commit 6e3d7d9 pushed. This Step 2 commit/push is verified during finalization; exact hash is in final report. If final push/sync fails, B01-B04/B34 must revert to Pending.</x:v>
      </x:c>
      <x:c r="L17" s="64" t="str">
        <x:v>44 baseline Git/live hashes matched before changes. Intended code/config/docs/tracker compared and synchronized; final SHA-256 check required before report. Credentials/runtime/deps/caches excluded.</x:v>
      </x:c>
      <x:c r="M17" s="6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64" t="str">
        <x:v>F04</x:v>
      </x:c>
      <x:c r="B18" s="64" t="str">
        <x:v>Step 1 · Layout</x:v>
      </x:c>
      <x:c r="C18" s="64" t="str">
        <x:v>Sticky desktop header with one-line navigation and rectangular Sign in</x:v>
      </x:c>
      <x:c r="D18" s="64" t="str">
        <x:v>Frontend</x:v>
      </x:c>
      <x:c r="E18" s="64" t="str">
        <x:v>Pending</x:v>
      </x:c>
      <x:c r="F18" s="6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64" t="str">
        <x:v>Codex: preserve existing approved shell; any separate foundation closeout must use the latest passing evidence. Contact details remain owner-supplied.</x:v>
      </x:c>
      <x:c r="H18" s="65" t="d">
        <x:v>2026-10-09T00:00:00.000Z</x:v>
      </x:c>
      <x:c r="I18" s="65" t="d">
        <x:v>2026-10-09T00:00:00.000Z</x:v>
      </x:c>
      <x:c r="J18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64" t="str">
        <x:v>Preceding V5 commit 6e3d7d9 pushed. This Step 2 commit/push is verified during finalization; exact hash is in final report. If final push/sync fails, B01-B04/B34 must revert to Pending.</x:v>
      </x:c>
      <x:c r="L18" s="64" t="str">
        <x:v>44 baseline Git/live hashes matched before changes. Intended code/config/docs/tracker compared and synchronized; final SHA-256 check required before report. Credentials/runtime/deps/caches excluded.</x:v>
      </x:c>
      <x:c r="M18" s="6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64" t="str">
        <x:v>F05</x:v>
      </x:c>
      <x:c r="B19" s="64" t="str">
        <x:v>Step 1 · Layout</x:v>
      </x:c>
      <x:c r="C19" s="64" t="str">
        <x:v>Phone header, bottom tabs and responsive breakpoints</x:v>
      </x:c>
      <x:c r="D19" s="64" t="str">
        <x:v>Frontend</x:v>
      </x:c>
      <x:c r="E19" s="64" t="str">
        <x:v>Pending</x:v>
      </x:c>
      <x:c r="F19" s="6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64" t="str">
        <x:v>Codex: preserve existing approved shell; any separate foundation closeout must use the latest passing evidence. Contact details remain owner-supplied.</x:v>
      </x:c>
      <x:c r="H19" s="65" t="d">
        <x:v>2026-10-09T00:00:00.000Z</x:v>
      </x:c>
      <x:c r="I19" s="65" t="d">
        <x:v>2026-10-09T00:00:00.000Z</x:v>
      </x:c>
      <x:c r="J19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64" t="str">
        <x:v>Preceding V5 commit 6e3d7d9 pushed. This Step 2 commit/push is verified during finalization; exact hash is in final report. If final push/sync fails, B01-B04/B34 must revert to Pending.</x:v>
      </x:c>
      <x:c r="L19" s="64" t="str">
        <x:v>44 baseline Git/live hashes matched before changes. Intended code/config/docs/tracker compared and synchronized; final SHA-256 check required before report. Credentials/runtime/deps/caches excluded.</x:v>
      </x:c>
      <x:c r="M19" s="6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64" t="str">
        <x:v>F06</x:v>
      </x:c>
      <x:c r="B20" s="64" t="str">
        <x:v>Step 1 · Layout</x:v>
      </x:c>
      <x:c r="C20" s="64" t="str">
        <x:v>Light footer, company links, contact and PDPA link</x:v>
      </x:c>
      <x:c r="D20" s="64" t="str">
        <x:v>Frontend</x:v>
      </x:c>
      <x:c r="E20" s="64" t="str">
        <x:v>Pending</x:v>
      </x:c>
      <x:c r="F20" s="6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64" t="str">
        <x:v>Codex: preserve existing approved shell; any separate foundation closeout must use the latest passing evidence. Contact details remain owner-supplied.</x:v>
      </x:c>
      <x:c r="H20" s="65" t="d">
        <x:v>2026-10-09T00:00:00.000Z</x:v>
      </x:c>
      <x:c r="I20" s="65" t="d">
        <x:v>2026-10-09T00:00:00.000Z</x:v>
      </x:c>
      <x:c r="J20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64" t="str">
        <x:v>Preceding V5 commit 6e3d7d9 pushed. This Step 2 commit/push is verified during finalization; exact hash is in final report. If final push/sync fails, B01-B04/B34 must revert to Pending.</x:v>
      </x:c>
      <x:c r="L20" s="64" t="str">
        <x:v>44 baseline Git/live hashes matched before changes. Intended code/config/docs/tracker compared and synchronized; final SHA-256 check required before report. Credentials/runtime/deps/caches excluded.</x:v>
      </x:c>
      <x:c r="M20" s="6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64" t="str">
        <x:v>F07</x:v>
      </x:c>
      <x:c r="B21" s="64" t="str">
        <x:v>Step 1 · i18n</x:v>
      </x:c>
      <x:c r="C21" s="64" t="str">
        <x:v>Thai/English routes, language switch and localized formatting</x:v>
      </x:c>
      <x:c r="D21" s="64" t="str">
        <x:v>Frontend</x:v>
      </x:c>
      <x:c r="E21" s="64" t="str">
        <x:v>Pending</x:v>
      </x:c>
      <x:c r="F21" s="6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64" t="str">
        <x:v>Codex: preserve existing approved shell; any separate foundation closeout must use the latest passing evidence. Contact details remain owner-supplied.</x:v>
      </x:c>
      <x:c r="H21" s="65" t="d">
        <x:v>2026-10-09T00:00:00.000Z</x:v>
      </x:c>
      <x:c r="I21" s="65" t="d">
        <x:v>2026-10-09T00:00:00.000Z</x:v>
      </x:c>
      <x:c r="J21" s="6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64" t="str">
        <x:v>Preceding V5 commit 6e3d7d9 pushed. This Step 2 commit/push is verified during finalization; exact hash is in final report. If final push/sync fails, B01-B04/B34 must revert to Pending.</x:v>
      </x:c>
      <x:c r="L21" s="64" t="str">
        <x:v>44 baseline Git/live hashes matched before changes. Intended code/config/docs/tracker compared and synchronized; final SHA-256 check required before report. Credentials/runtime/deps/caches excluded.</x:v>
      </x:c>
      <x:c r="M21" s="6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250" customHeight="1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45" priority="1">
      <x:formula>$E6="Pending"</x:formula>
    </x:cfRule>
    <x:cfRule type="expression" dxfId="46" priority="2">
      <x:formula>$E6="Done"</x:formula>
    </x:cfRule>
    <x:cfRule type="expression" dxfId="47" priority="3">
      <x:formula>$E6="Not started"</x:formula>
    </x:cfRule>
  </x:conditionalFormatting>
  <x:dataValidations count="2">
    <x:dataValidation type="list" sqref="E22">
      <x:formula1>"Done,Pending,Not started"</x:formula1>
    </x:dataValidation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fe3d4607aa4b42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3 verified. 82 permanent IDs: 15 Done, 16 Pending, 51 Not started. R02 links F01/F08 interaction fixes. Yellow Pending; light green Done; red Not started. Status sheets canonical; category sheets open views.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82</x:v>
      </x:c>
      <x:c r="C3" s="18" t="str">
        <x:v>Done</x:v>
      </x:c>
      <x:c r="D3" s="18" t="n">
        <x:f>COUNTA('Done'!A6:A500)</x:f>
        <x:v>15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66" t="str">
        <x:v>F14</x:v>
      </x:c>
      <x:c r="B6" s="67" t="str">
        <x:v>Step 4 · Map</x:v>
      </x:c>
      <x:c r="C6" s="67" t="str">
        <x:v>Desktop listing/map split and hover/focus pin synchronization</x:v>
      </x:c>
      <x:c r="D6" s="67" t="str">
        <x:v>Frontend</x:v>
      </x:c>
      <x:c r="E6" s="67" t="str">
        <x:v>Not started</x:v>
      </x:c>
      <x:c r="F6" s="67" t="str">
        <x:v>Not yet implemented; follow approved V3 handoff.</x:v>
      </x:c>
      <x:c r="G6" s="67" t="str">
        <x:v>Codex: implement in assigned step</x:v>
      </x:c>
      <x:c r="H6" s="68"/>
      <x:c r="I6" s="68"/>
      <x:c r="J6" s="67"/>
      <x:c r="K6" s="67"/>
      <x:c r="L6" s="67"/>
      <x:c r="M6" s="67"/>
    </x:row>
    <x:row r="7" ht="26" customHeight="1">
      <x:c r="A7" s="66" t="str">
        <x:v>F15</x:v>
      </x:c>
      <x:c r="B7" s="67" t="str">
        <x:v>Step 4 · Map</x:v>
      </x:c>
      <x:c r="C7" s="67" t="str">
        <x:v>Phone full-screen Map/List toggle</x:v>
      </x:c>
      <x:c r="D7" s="67" t="str">
        <x:v>Frontend</x:v>
      </x:c>
      <x:c r="E7" s="67" t="str">
        <x:v>Not started</x:v>
      </x:c>
      <x:c r="F7" s="67" t="str">
        <x:v>Not yet implemented; follow approved V3 handoff.</x:v>
      </x:c>
      <x:c r="G7" s="67" t="str">
        <x:v>Codex: implement in assigned step</x:v>
      </x:c>
      <x:c r="H7" s="68"/>
      <x:c r="I7" s="68"/>
      <x:c r="J7" s="67"/>
      <x:c r="K7" s="67"/>
      <x:c r="L7" s="67"/>
      <x:c r="M7" s="67"/>
    </x:row>
    <x:row r="8" ht="26" customHeight="1">
      <x:c r="A8" s="66" t="str">
        <x:v>F16</x:v>
      </x:c>
      <x:c r="B8" s="67" t="str">
        <x:v>Step 5 · Property</x:v>
      </x:c>
      <x:c r="C8" s="67" t="str">
        <x:v>Property detail photo grid and full-screen gallery</x:v>
      </x:c>
      <x:c r="D8" s="67" t="str">
        <x:v>Frontend</x:v>
      </x:c>
      <x:c r="E8" s="67" t="str">
        <x:v>Not started</x:v>
      </x:c>
      <x:c r="F8" s="67" t="str">
        <x:v>Not yet implemented; follow approved V3 handoff.</x:v>
      </x:c>
      <x:c r="G8" s="67" t="str">
        <x:v>Codex: implement in assigned step</x:v>
      </x:c>
      <x:c r="H8" s="68"/>
      <x:c r="I8" s="68"/>
      <x:c r="J8" s="67"/>
      <x:c r="K8" s="67"/>
      <x:c r="L8" s="67"/>
      <x:c r="M8" s="67"/>
    </x:row>
    <x:row r="9" ht="26" customHeight="1">
      <x:c r="A9" s="66" t="str">
        <x:v>F17</x:v>
      </x:c>
      <x:c r="B9" s="67" t="str">
        <x:v>Step 5 · Property</x:v>
      </x:c>
      <x:c r="C9" s="67" t="str">
        <x:v>Title, pricing, type-specific facts, long description and sticky tabs</x:v>
      </x:c>
      <x:c r="D9" s="67" t="str">
        <x:v>Frontend</x:v>
      </x:c>
      <x:c r="E9" s="67" t="str">
        <x:v>Not started</x:v>
      </x:c>
      <x:c r="F9" s="67" t="str">
        <x:v>Not yet implemented; follow approved V3 handoff.</x:v>
      </x:c>
      <x:c r="G9" s="67" t="str">
        <x:v>Codex: implement in assigned step</x:v>
      </x:c>
      <x:c r="H9" s="68"/>
      <x:c r="I9" s="68"/>
      <x:c r="J9" s="67"/>
      <x:c r="K9" s="67"/>
      <x:c r="L9" s="67"/>
      <x:c r="M9" s="67"/>
    </x:row>
    <x:row r="10" ht="26" customHeight="1">
      <x:c r="A10" s="66" t="str">
        <x:v>F18</x:v>
      </x:c>
      <x:c r="B10" s="67" t="str">
        <x:v>Step 5 · Property</x:v>
      </x:c>
      <x:c r="C10" s="67" t="str">
        <x:v>Floorplan/video/360 tabs, verified nearby information and map</x:v>
      </x:c>
      <x:c r="D10" s="67" t="str">
        <x:v>Frontend</x:v>
      </x:c>
      <x:c r="E10" s="67" t="str">
        <x:v>Not started</x:v>
      </x:c>
      <x:c r="F10" s="67" t="str">
        <x:v>Not yet implemented; follow approved V3 handoff.</x:v>
      </x:c>
      <x:c r="G10" s="67" t="str">
        <x:v>Codex: implement in assigned step</x:v>
      </x:c>
      <x:c r="H10" s="68"/>
      <x:c r="I10" s="68"/>
      <x:c r="J10" s="67"/>
      <x:c r="K10" s="67"/>
      <x:c r="L10" s="67"/>
      <x:c r="M10" s="67"/>
    </x:row>
    <x:row r="11" ht="26" customHeight="1">
      <x:c r="A11" s="66" t="str">
        <x:v>F19</x:v>
      </x:c>
      <x:c r="B11" s="67" t="str">
        <x:v>Step 5 · Property</x:v>
      </x:c>
      <x:c r="C11" s="67" t="str">
        <x:v>Mortgage calculator and area comparison when real data exists</x:v>
      </x:c>
      <x:c r="D11" s="67" t="str">
        <x:v>Frontend</x:v>
      </x:c>
      <x:c r="E11" s="67" t="str">
        <x:v>Not started</x:v>
      </x:c>
      <x:c r="F11" s="67" t="str">
        <x:v>Not yet implemented; follow approved V3 handoff.</x:v>
      </x:c>
      <x:c r="G11" s="67" t="str">
        <x:v>Codex: implement in assigned step</x:v>
      </x:c>
      <x:c r="H11" s="68"/>
      <x:c r="I11" s="68"/>
      <x:c r="J11" s="67"/>
      <x:c r="K11" s="67"/>
      <x:c r="L11" s="67"/>
      <x:c r="M11" s="67"/>
    </x:row>
    <x:row r="12" ht="26" customHeight="1">
      <x:c r="A12" s="66" t="str">
        <x:v>F20</x:v>
      </x:c>
      <x:c r="B12" s="67" t="str">
        <x:v>Step 5 · Property</x:v>
      </x:c>
      <x:c r="C12" s="67" t="str">
        <x:v>Same-project units and similar-property cards</x:v>
      </x:c>
      <x:c r="D12" s="67" t="str">
        <x:v>Frontend</x:v>
      </x:c>
      <x:c r="E12" s="67" t="str">
        <x:v>Not started</x:v>
      </x:c>
      <x:c r="F12" s="67" t="str">
        <x:v>Not yet implemented; follow approved V3 handoff.</x:v>
      </x:c>
      <x:c r="G12" s="67" t="str">
        <x:v>Codex: implement in assigned step</x:v>
      </x:c>
      <x:c r="H12" s="68"/>
      <x:c r="I12" s="68"/>
      <x:c r="J12" s="67"/>
      <x:c r="K12" s="67"/>
      <x:c r="L12" s="67"/>
      <x:c r="M12" s="67"/>
    </x:row>
    <x:row r="13" ht="26" customHeight="1">
      <x:c r="A13" s="66" t="str">
        <x:v>F21</x:v>
      </x:c>
      <x:c r="B13" s="67" t="str">
        <x:v>Step 6 · Contact</x:v>
      </x:c>
      <x:c r="C13" s="67" t="str">
        <x:v>Shared agent enquiry form, card Contact agent dialog, desktop sticky box and phone contact bar</x:v>
      </x:c>
      <x:c r="D13" s="67" t="str">
        <x:v>Frontend</x:v>
      </x:c>
      <x:c r="E13" s="67" t="str">
        <x:v>Not started</x:v>
      </x:c>
      <x:c r="F13" s="67" t="str">
        <x:v>V5 Step 6 wires the card dialog and property form through one component/action. No implementation started; destinations still unresolved.</x:v>
      </x:c>
      <x:c r="G13" s="67" t="str">
        <x:v>Owner: provide routing/contacts. Codex: implement only under Step 6 authorization.</x:v>
      </x:c>
      <x:c r="H13" s="68"/>
      <x:c r="I13" s="68" t="d">
        <x:v>2026-10-09T00:00:00.000Z</x:v>
      </x:c>
      <x:c r="J13" s="67" t="str">
        <x:v>Documentation/planning update only. No application tests run at owner request. Existing runtime test results remain in prior history. Workbook/source/mirror checks performed.</x:v>
      </x:c>
      <x:c r="K13" s="67" t="str">
        <x:v>Preceding foundation commit 604c62e pushed. V5 adoption commit/push verified at finalization; final report provides hash.</x:v>
      </x:c>
      <x:c r="L13" s="67" t="str">
        <x:v>Baseline live files compared with Git before synchronization; revised guide/source/docs/tracker synchronized only after divergence checks.</x:v>
      </x:c>
      <x:c r="M13" s="6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14" ht="26" customHeight="1">
      <x:c r="A14" s="66" t="str">
        <x:v>F22</x:v>
      </x:c>
      <x:c r="B14" s="67" t="str">
        <x:v>Step 7 · Home</x:v>
      </x:c>
      <x:c r="C14" s="67" t="str">
        <x:v>Single-image hero and compact photography-first layout</x:v>
      </x:c>
      <x:c r="D14" s="67" t="str">
        <x:v>Frontend</x:v>
      </x:c>
      <x:c r="E14" s="67" t="str">
        <x:v>Not started</x:v>
      </x:c>
      <x:c r="F14" s="67" t="str">
        <x:v>Not yet implemented; follow approved V3 handoff.</x:v>
      </x:c>
      <x:c r="G14" s="67" t="str">
        <x:v>Codex: implement in assigned step</x:v>
      </x:c>
      <x:c r="H14" s="68"/>
      <x:c r="I14" s="68"/>
      <x:c r="J14" s="67"/>
      <x:c r="K14" s="67"/>
      <x:c r="L14" s="67"/>
      <x:c r="M14" s="67"/>
    </x:row>
    <x:row r="15" ht="26" customHeight="1">
      <x:c r="A15" s="66" t="str">
        <x:v>F23</x:v>
      </x:c>
      <x:c r="B15" s="67" t="str">
        <x:v>Step 7 · Home</x:v>
      </x:c>
      <x:c r="C15" s="67" t="str">
        <x:v>Shared search box with Buy/Rent/Projects/Investment tabs</x:v>
      </x:c>
      <x:c r="D15" s="67" t="str">
        <x:v>Frontend</x:v>
      </x:c>
      <x:c r="E15" s="67" t="str">
        <x:v>Not started</x:v>
      </x:c>
      <x:c r="F15" s="67" t="str">
        <x:v>Not yet implemented; follow approved V3 handoff.</x:v>
      </x:c>
      <x:c r="G15" s="67" t="str">
        <x:v>Codex: implement in assigned step</x:v>
      </x:c>
      <x:c r="H15" s="68"/>
      <x:c r="I15" s="68"/>
      <x:c r="J15" s="67"/>
      <x:c r="K15" s="67"/>
      <x:c r="L15" s="67"/>
      <x:c r="M15" s="67"/>
    </x:row>
    <x:row r="16" ht="26" customHeight="1">
      <x:c r="A16" s="66" t="str">
        <x:v>F24</x:v>
      </x:c>
      <x:c r="B16" s="67" t="str">
        <x:v>Step 7 · Home</x:v>
      </x:c>
      <x:c r="C16" s="67" t="str">
        <x:v>Categories, recent searches and location/station suggestions</x:v>
      </x:c>
      <x:c r="D16" s="67" t="str">
        <x:v>Frontend</x:v>
      </x:c>
      <x:c r="E16" s="67" t="str">
        <x:v>Not started</x:v>
      </x:c>
      <x:c r="F16" s="67" t="str">
        <x:v>Not yet implemented; follow approved V3 handoff.</x:v>
      </x:c>
      <x:c r="G16" s="67" t="str">
        <x:v>Codex: implement in assigned step</x:v>
      </x:c>
      <x:c r="H16" s="68"/>
      <x:c r="I16" s="68"/>
      <x:c r="J16" s="67"/>
      <x:c r="K16" s="67"/>
      <x:c r="L16" s="67"/>
      <x:c r="M16" s="67"/>
    </x:row>
    <x:row r="17" ht="26" customHeight="1">
      <x:c r="A17" s="66" t="str">
        <x:v>F25</x:v>
      </x:c>
      <x:c r="B17" s="67" t="str">
        <x:v>Step 7 · Home</x:v>
      </x:c>
      <x:c r="C17" s="67" t="str">
        <x:v>Homes for you carousel directly below search; regions with real listing counts</x:v>
      </x:c>
      <x:c r="D17" s="67" t="str">
        <x:v>Frontend</x:v>
      </x:c>
      <x:c r="E17" s="67" t="str">
        <x:v>Not started</x:v>
      </x:c>
      <x:c r="F17" s="67" t="str">
        <x:v>V5 Step 7 uses Step 3 cards: five tabs, arrows, See all, 3/2/1.1 visible cards, swipe/scroll-snap, featured first then newest, up to 12 per tab. Not implemented.</x:v>
      </x:c>
      <x:c r="G17" s="67" t="str">
        <x:v>Codex: implement approved home-page.html only under Step 7 authorization.</x:v>
      </x:c>
      <x:c r="H17" s="68"/>
      <x:c r="I17" s="68" t="d">
        <x:v>2026-10-09T00:00:00.000Z</x:v>
      </x:c>
      <x:c r="J17" s="67" t="str">
        <x:v>Documentation/planning update only. No application tests run at owner request. Existing runtime test results remain in prior history. Workbook/source/mirror checks performed.</x:v>
      </x:c>
      <x:c r="K17" s="67" t="str">
        <x:v>Preceding foundation commit 604c62e pushed. V5 adoption commit/push verified at finalization; final report provides hash.</x:v>
      </x:c>
      <x:c r="L17" s="67" t="str">
        <x:v>Baseline live files compared with Git before synchronization; revised guide/source/docs/tracker synchronized only after divergence checks.</x:v>
      </x:c>
      <x:c r="M17" s="6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18" ht="26" customHeight="1">
      <x:c r="A18" s="66" t="str">
        <x:v>F26</x:v>
      </x:c>
      <x:c r="B18" s="67" t="str">
        <x:v>Step 7 · Home</x:v>
      </x:c>
      <x:c r="C18" s="67" t="str">
        <x:v>New projects, tools, services and owner lead CTAs</x:v>
      </x:c>
      <x:c r="D18" s="67" t="str">
        <x:v>Frontend</x:v>
      </x:c>
      <x:c r="E18" s="67" t="str">
        <x:v>Not started</x:v>
      </x:c>
      <x:c r="F18" s="67" t="str">
        <x:v>Not yet implemented; follow approved V3 handoff.</x:v>
      </x:c>
      <x:c r="G18" s="67" t="str">
        <x:v>Codex: implement in assigned step</x:v>
      </x:c>
      <x:c r="H18" s="68"/>
      <x:c r="I18" s="68"/>
      <x:c r="J18" s="67"/>
      <x:c r="K18" s="67"/>
      <x:c r="L18" s="67"/>
      <x:c r="M18" s="67"/>
    </x:row>
    <x:row r="19" ht="250" customHeight="1">
      <x:c r="A19" s="66" t="str">
        <x:v>F27</x:v>
      </x:c>
      <x:c r="B19" s="67" t="str">
        <x:v>Step 8 · Projects</x:v>
      </x:c>
      <x:c r="C19" s="67" t="str">
        <x:v>Projects index and responsive project detail layouts</x:v>
      </x:c>
      <x:c r="D19" s="67" t="str">
        <x:v>Frontend</x:v>
      </x:c>
      <x:c r="E19" s="67" t="str">
        <x:v>Not started</x:v>
      </x:c>
      <x:c r="F19" s="67" t="str">
        <x:v>Not yet implemented; follow approved V3 handoff.</x:v>
      </x:c>
      <x:c r="G19" s="67" t="str">
        <x:v>Codex: implement in assigned step</x:v>
      </x:c>
      <x:c r="H19" s="68"/>
      <x:c r="I19" s="68"/>
      <x:c r="J19" s="67"/>
      <x:c r="K19" s="67"/>
      <x:c r="L19" s="67"/>
      <x:c r="M19" s="67"/>
    </x:row>
    <x:row r="20" ht="26" customHeight="1">
      <x:c r="A20" s="66" t="str">
        <x:v>F28</x:v>
      </x:c>
      <x:c r="B20" s="67" t="str">
        <x:v>Step 8 · Projects</x:v>
      </x:c>
      <x:c r="C20" s="67" t="str">
        <x:v>Unit types, availability, facility chips, progress and brochure</x:v>
      </x:c>
      <x:c r="D20" s="67" t="str">
        <x:v>Frontend</x:v>
      </x:c>
      <x:c r="E20" s="67" t="str">
        <x:v>Not started</x:v>
      </x:c>
      <x:c r="F20" s="67" t="str">
        <x:v>Not yet implemented; follow approved V3 handoff.</x:v>
      </x:c>
      <x:c r="G20" s="67" t="str">
        <x:v>Codex: implement in assigned step</x:v>
      </x:c>
      <x:c r="H20" s="68"/>
      <x:c r="I20" s="68"/>
      <x:c r="J20" s="67"/>
      <x:c r="K20" s="67"/>
      <x:c r="L20" s="67"/>
      <x:c r="M20" s="67"/>
    </x:row>
    <x:row r="21" ht="26" customHeight="1">
      <x:c r="A21" s="66" t="str">
        <x:v>F29</x:v>
      </x:c>
      <x:c r="B21" s="67" t="str">
        <x:v>Step 8 · Projects</x:v>
      </x:c>
      <x:c r="C21" s="67" t="str">
        <x:v>Data-driven clickable project SVG plot plan</x:v>
      </x:c>
      <x:c r="D21" s="67" t="str">
        <x:v>Frontend</x:v>
      </x:c>
      <x:c r="E21" s="67" t="str">
        <x:v>Not started</x:v>
      </x:c>
      <x:c r="F21" s="67" t="str">
        <x:v>Not yet implemented; follow approved V3 handoff.</x:v>
      </x:c>
      <x:c r="G21" s="67" t="str">
        <x:v>Codex: implement in assigned step</x:v>
      </x:c>
      <x:c r="H21" s="68"/>
      <x:c r="I21" s="68"/>
      <x:c r="J21" s="67"/>
      <x:c r="K21" s="67"/>
      <x:c r="L21" s="67"/>
      <x:c r="M21" s="67"/>
    </x:row>
    <x:row r="22" ht="26" customHeight="1">
      <x:c r="A22" s="66" t="str">
        <x:v>F30</x:v>
      </x:c>
      <x:c r="B22" s="67" t="str">
        <x:v>Step 8 · Booking</x:v>
      </x:c>
      <x:c r="C22" s="67" t="str">
        <x:v>Site visit 3-step form and confirmation screens</x:v>
      </x:c>
      <x:c r="D22" s="67" t="str">
        <x:v>Frontend</x:v>
      </x:c>
      <x:c r="E22" s="67" t="str">
        <x:v>Not started</x:v>
      </x:c>
      <x:c r="F22" s="67" t="str">
        <x:v>Not yet implemented; follow approved V3 handoff.</x:v>
      </x:c>
      <x:c r="G22" s="67" t="str">
        <x:v>Codex: implement in assigned step</x:v>
      </x:c>
      <x:c r="H22" s="68"/>
      <x:c r="I22" s="68"/>
      <x:c r="J22" s="67"/>
      <x:c r="K22" s="67"/>
      <x:c r="L22" s="67"/>
      <x:c r="M22" s="67"/>
    </x:row>
    <x:row r="23" ht="250" customHeight="1">
      <x:c r="A23" s="66" t="str">
        <x:v>F31</x:v>
      </x:c>
      <x:c r="B23" s="67" t="str">
        <x:v>Step 9 · Saved</x:v>
      </x:c>
      <x:c r="C23" s="67" t="str">
        <x:v>Homes, searches and viewings; local save without account</x:v>
      </x:c>
      <x:c r="D23" s="67" t="str">
        <x:v>Frontend</x:v>
      </x:c>
      <x:c r="E23" s="67" t="str">
        <x:v>Not started</x:v>
      </x:c>
      <x:c r="F23" s="67" t="str">
        <x:v>Not yet implemented; follow approved V3 handoff.</x:v>
      </x:c>
      <x:c r="G23" s="67" t="str">
        <x:v>Codex: implement in assigned step</x:v>
      </x:c>
      <x:c r="H23" s="68"/>
      <x:c r="I23" s="68"/>
      <x:c r="J23" s="67"/>
      <x:c r="K23" s="67"/>
      <x:c r="L23" s="67"/>
      <x:c r="M23" s="67"/>
    </x:row>
    <x:row r="24" ht="26" customHeight="1">
      <x:c r="A24" s="66" t="str">
        <x:v>F33</x:v>
      </x:c>
      <x:c r="B24" s="67" t="str">
        <x:v>Step 10B · Accounts</x:v>
      </x:c>
      <x:c r="C24" s="67" t="str">
        <x:v>Build approved auth and account screens only after approval</x:v>
      </x:c>
      <x:c r="D24" s="67" t="str">
        <x:v>Frontend</x:v>
      </x:c>
      <x:c r="E24" s="67" t="str">
        <x:v>Not started</x:v>
      </x:c>
      <x:c r="F24" s="67" t="str">
        <x:v>Not yet implemented; follow approved V3 handoff.</x:v>
      </x:c>
      <x:c r="G24" s="67" t="str">
        <x:v>Codex: implement in assigned step</x:v>
      </x:c>
      <x:c r="H24" s="68"/>
      <x:c r="I24" s="68"/>
      <x:c r="J24" s="67"/>
      <x:c r="K24" s="67"/>
      <x:c r="L24" s="67"/>
      <x:c r="M24" s="67"/>
    </x:row>
    <x:row r="25" ht="26" customHeight="1">
      <x:c r="A25" s="66" t="str">
        <x:v>F35</x:v>
      </x:c>
      <x:c r="B25" s="67" t="str">
        <x:v>Step 11B · Admin</x:v>
      </x:c>
      <x:c r="C25" s="67" t="str">
        <x:v>Admin listing, media, project, agent and enquiry interfaces</x:v>
      </x:c>
      <x:c r="D25" s="67" t="str">
        <x:v>Frontend</x:v>
      </x:c>
      <x:c r="E25" s="67" t="str">
        <x:v>Not started</x:v>
      </x:c>
      <x:c r="F25" s="67" t="str">
        <x:v>Not yet implemented; follow approved V3 handoff.</x:v>
      </x:c>
      <x:c r="G25" s="67" t="str">
        <x:v>Codex: implement in assigned step</x:v>
      </x:c>
      <x:c r="H25" s="68"/>
      <x:c r="I25" s="68"/>
      <x:c r="J25" s="67"/>
      <x:c r="K25" s="67"/>
      <x:c r="L25" s="67"/>
      <x:c r="M25" s="67"/>
    </x:row>
    <x:row r="26" ht="26" customHeight="1">
      <x:c r="A26" s="66" t="str">
        <x:v>F36</x:v>
      </x:c>
      <x:c r="B26" s="67" t="str">
        <x:v>Step 11B · Admin</x:v>
      </x:c>
      <x:c r="C26" s="67" t="str">
        <x:v>Admin-managed searchable filter editor with type safety</x:v>
      </x:c>
      <x:c r="D26" s="67" t="str">
        <x:v>Frontend</x:v>
      </x:c>
      <x:c r="E26" s="67" t="str">
        <x:v>Not started</x:v>
      </x:c>
      <x:c r="F26" s="67" t="str">
        <x:v>Not yet implemented; follow approved V3 handoff.</x:v>
      </x:c>
      <x:c r="G26" s="67" t="str">
        <x:v>Codex: implement in assigned step</x:v>
      </x:c>
      <x:c r="H26" s="68"/>
      <x:c r="I26" s="68"/>
      <x:c r="J26" s="67"/>
      <x:c r="K26" s="67"/>
      <x:c r="L26" s="67"/>
      <x:c r="M26" s="67"/>
    </x:row>
    <x:row r="27" ht="26" customHeight="1">
      <x:c r="A27" s="66" t="str">
        <x:v>F37</x:v>
      </x:c>
      <x:c r="B27" s="67" t="str">
        <x:v>Step 12 · Quality</x:v>
      </x:c>
      <x:c r="C27" s="67" t="str">
        <x:v>A11y/SEO/hreflang/structured data/mobile responsive audit</x:v>
      </x:c>
      <x:c r="D27" s="67" t="str">
        <x:v>Frontend</x:v>
      </x:c>
      <x:c r="E27" s="67" t="str">
        <x:v>Not started</x:v>
      </x:c>
      <x:c r="F27" s="67" t="str">
        <x:v>Not yet implemented; follow approved V3 handoff.</x:v>
      </x:c>
      <x:c r="G27" s="67" t="str">
        <x:v>Codex: implement in assigned step</x:v>
      </x:c>
      <x:c r="H27" s="68"/>
      <x:c r="I27" s="68"/>
      <x:c r="J27" s="67"/>
      <x:c r="K27" s="67"/>
      <x:c r="L27" s="67"/>
      <x:c r="M27" s="67"/>
    </x:row>
    <x:row r="28" ht="26" customHeight="1">
      <x:c r="A28" s="66" t="str">
        <x:v>F38</x:v>
      </x:c>
      <x:c r="B28" s="67" t="str">
        <x:v>Step 12 · Quality</x:v>
      </x:c>
      <x:c r="C28" s="67" t="str">
        <x:v>LCP, INP, CLS, image and bundle optimization with measurements</x:v>
      </x:c>
      <x:c r="D28" s="67" t="str">
        <x:v>Frontend</x:v>
      </x:c>
      <x:c r="E28" s="67" t="str">
        <x:v>Not started</x:v>
      </x:c>
      <x:c r="F28" s="67" t="str">
        <x:v>Not yet implemented; follow approved V3 handoff.</x:v>
      </x:c>
      <x:c r="G28" s="67" t="str">
        <x:v>Codex: implement in assigned step</x:v>
      </x:c>
      <x:c r="H28" s="68"/>
      <x:c r="I28" s="68"/>
      <x:c r="J28" s="67"/>
      <x:c r="K28" s="67"/>
      <x:c r="L28" s="67"/>
      <x:c r="M28" s="67"/>
    </x:row>
    <x:row r="29" ht="26" customHeight="1">
      <x:c r="A29" s="66" t="str">
        <x:v>B08</x:v>
      </x:c>
      <x:c r="B29" s="67" t="str">
        <x:v>Step 4 · Map</x:v>
      </x:c>
      <x:c r="C29" s="67" t="str">
        <x:v>Geospatial index, bounding-box search and hidden-pin privacy</x:v>
      </x:c>
      <x:c r="D29" s="67" t="str">
        <x:v>Backend</x:v>
      </x:c>
      <x:c r="E29" s="67" t="str">
        <x:v>Not started</x:v>
      </x:c>
      <x:c r="F29" s="67" t="str">
        <x:v>Not yet implemented; follow approved V3 handoff.</x:v>
      </x:c>
      <x:c r="G29" s="67" t="str">
        <x:v>Codex: implement in assigned step</x:v>
      </x:c>
      <x:c r="H29" s="68"/>
      <x:c r="I29" s="68"/>
      <x:c r="J29" s="67"/>
      <x:c r="K29" s="67"/>
      <x:c r="L29" s="67"/>
      <x:c r="M29" s="67"/>
    </x:row>
    <x:row r="30" ht="26" customHeight="1">
      <x:c r="A30" s="66" t="str">
        <x:v>B10</x:v>
      </x:c>
      <x:c r="B30" s="67" t="str">
        <x:v>Step 4 · Nearby</x:v>
      </x:c>
      <x:c r="C30" s="67" t="str">
        <x:v>Provider-backed nearby data ingest and 90-day refresh</x:v>
      </x:c>
      <x:c r="D30" s="67" t="str">
        <x:v>Backend</x:v>
      </x:c>
      <x:c r="E30" s="67" t="str">
        <x:v>Not started</x:v>
      </x:c>
      <x:c r="F30" s="67" t="str">
        <x:v>Not yet implemented; follow approved V3 handoff.</x:v>
      </x:c>
      <x:c r="G30" s="67" t="str">
        <x:v>Codex: implement in assigned step</x:v>
      </x:c>
      <x:c r="H30" s="68"/>
      <x:c r="I30" s="68"/>
      <x:c r="J30" s="67"/>
      <x:c r="K30" s="67"/>
      <x:c r="L30" s="67"/>
      <x:c r="M30" s="67"/>
    </x:row>
    <x:row r="31" ht="26" customHeight="1">
      <x:c r="A31" s="66" t="str">
        <x:v>B11</x:v>
      </x:c>
      <x:c r="B31" s="67" t="str">
        <x:v>Step 5 · Media</x:v>
      </x:c>
      <x:c r="C31" s="67" t="str">
        <x:v>Photo/floorplan/video metadata and safe image upload pipeline</x:v>
      </x:c>
      <x:c r="D31" s="67" t="str">
        <x:v>Backend</x:v>
      </x:c>
      <x:c r="E31" s="67" t="str">
        <x:v>Not started</x:v>
      </x:c>
      <x:c r="F31" s="67" t="str">
        <x:v>Not yet implemented; follow approved V3 handoff.</x:v>
      </x:c>
      <x:c r="G31" s="67" t="str">
        <x:v>Codex: implement in assigned step</x:v>
      </x:c>
      <x:c r="H31" s="68"/>
      <x:c r="I31" s="68"/>
      <x:c r="J31" s="67"/>
      <x:c r="K31" s="67"/>
      <x:c r="L31" s="67"/>
      <x:c r="M31" s="67"/>
    </x:row>
    <x:row r="32" ht="26" customHeight="1">
      <x:c r="A32" s="66" t="str">
        <x:v>B12</x:v>
      </x:c>
      <x:c r="B32" s="67" t="str">
        <x:v>Step 5 · Similar</x:v>
      </x:c>
      <x:c r="C32" s="67" t="str">
        <x:v>Same-location/type/intent matching with ±25% price fallback</x:v>
      </x:c>
      <x:c r="D32" s="67" t="str">
        <x:v>Backend</x:v>
      </x:c>
      <x:c r="E32" s="67" t="str">
        <x:v>Not started</x:v>
      </x:c>
      <x:c r="F32" s="67" t="str">
        <x:v>Not yet implemented; follow approved V3 handoff.</x:v>
      </x:c>
      <x:c r="G32" s="67" t="str">
        <x:v>Codex: implement in assigned step</x:v>
      </x:c>
      <x:c r="H32" s="68"/>
      <x:c r="I32" s="68"/>
      <x:c r="J32" s="67"/>
      <x:c r="K32" s="67"/>
      <x:c r="L32" s="67"/>
      <x:c r="M32" s="67"/>
    </x:row>
    <x:row r="33" ht="26" customHeight="1">
      <x:c r="A33" s="66" t="str">
        <x:v>B13</x:v>
      </x:c>
      <x:c r="B33" s="67" t="str">
        <x:v>Step 5 · Metrics</x:v>
      </x:c>
      <x:c r="C33" s="67" t="str">
        <x:v>Comparable pricing/yield gated by verified sample size</x:v>
      </x:c>
      <x:c r="D33" s="67" t="str">
        <x:v>Backend</x:v>
      </x:c>
      <x:c r="E33" s="67" t="str">
        <x:v>Not started</x:v>
      </x:c>
      <x:c r="F33" s="67" t="str">
        <x:v>Not yet implemented; follow approved V3 handoff.</x:v>
      </x:c>
      <x:c r="G33" s="67" t="str">
        <x:v>Codex: implement in assigned step</x:v>
      </x:c>
      <x:c r="H33" s="68"/>
      <x:c r="I33" s="68"/>
      <x:c r="J33" s="67"/>
      <x:c r="K33" s="67"/>
      <x:c r="L33" s="67"/>
      <x:c r="M33" s="67"/>
    </x:row>
    <x:row r="34" ht="26" customHeight="1">
      <x:c r="A34" s="66" t="str">
        <x:v>B14</x:v>
      </x:c>
      <x:c r="B34" s="67" t="str">
        <x:v>Step 6 · Leads</x:v>
      </x:c>
      <x:c r="C34" s="67" t="str">
        <x:v>Enquiry API validation and DB-first persist-before-notify flow</x:v>
      </x:c>
      <x:c r="D34" s="67" t="str">
        <x:v>Backend</x:v>
      </x:c>
      <x:c r="E34" s="67" t="str">
        <x:v>Not started</x:v>
      </x:c>
      <x:c r="F34" s="67" t="str">
        <x:v>Not yet implemented; follow approved V3 handoff.</x:v>
      </x:c>
      <x:c r="G34" s="67" t="str">
        <x:v>Codex: implement in assigned step</x:v>
      </x:c>
      <x:c r="H34" s="68"/>
      <x:c r="I34" s="68"/>
      <x:c r="J34" s="67"/>
      <x:c r="K34" s="67"/>
      <x:c r="L34" s="67"/>
      <x:c r="M34" s="67"/>
    </x:row>
    <x:row r="35" ht="26" customHeight="1">
      <x:c r="A35" s="66" t="str">
        <x:v>B15</x:v>
      </x:c>
      <x:c r="B35" s="67" t="str">
        <x:v>Step 6 · Leads</x:v>
      </x:c>
      <x:c r="C35" s="67" t="str">
        <x:v>PDPA consent version, UTM/source, language and audit metadata</x:v>
      </x:c>
      <x:c r="D35" s="67" t="str">
        <x:v>Backend</x:v>
      </x:c>
      <x:c r="E35" s="67" t="str">
        <x:v>Not started</x:v>
      </x:c>
      <x:c r="F35" s="67" t="str">
        <x:v>Not yet implemented; follow approved V3 handoff.</x:v>
      </x:c>
      <x:c r="G35" s="67" t="str">
        <x:v>Codex: implement in assigned step</x:v>
      </x:c>
      <x:c r="H35" s="68"/>
      <x:c r="I35" s="68"/>
      <x:c r="J35" s="67"/>
      <x:c r="K35" s="67"/>
      <x:c r="L35" s="67"/>
      <x:c r="M35" s="67"/>
    </x:row>
    <x:row r="36" ht="26" customHeight="1">
      <x:c r="A36" s="66" t="str">
        <x:v>B16</x:v>
      </x:c>
      <x:c r="B36" s="67" t="str">
        <x:v>Step 6 · Security</x:v>
      </x:c>
      <x:c r="C36" s="67" t="str">
        <x:v>Rate limits, honeypot and duplicate submission protection</x:v>
      </x:c>
      <x:c r="D36" s="67" t="str">
        <x:v>Backend</x:v>
      </x:c>
      <x:c r="E36" s="67" t="str">
        <x:v>Not started</x:v>
      </x:c>
      <x:c r="F36" s="67" t="str">
        <x:v>Not yet implemented; follow approved V3 handoff.</x:v>
      </x:c>
      <x:c r="G36" s="67" t="str">
        <x:v>Codex: implement in assigned step</x:v>
      </x:c>
      <x:c r="H36" s="68"/>
      <x:c r="I36" s="68"/>
      <x:c r="J36" s="67"/>
      <x:c r="K36" s="67"/>
      <x:c r="L36" s="67"/>
      <x:c r="M36" s="67"/>
    </x:row>
    <x:row r="37" ht="26" customHeight="1">
      <x:c r="A37" s="66" t="str">
        <x:v>B19</x:v>
      </x:c>
      <x:c r="B37" s="67" t="str">
        <x:v>Step 6 · Chat</x:v>
      </x:c>
      <x:c r="C37" s="67" t="str">
        <x:v>Validated LINE/WhatsApp URLs and click event tracking</x:v>
      </x:c>
      <x:c r="D37" s="67" t="str">
        <x:v>Backend</x:v>
      </x:c>
      <x:c r="E37" s="67" t="str">
        <x:v>Not started</x:v>
      </x:c>
      <x:c r="F37" s="67" t="str">
        <x:v>Not yet implemented; follow approved V3 handoff.</x:v>
      </x:c>
      <x:c r="G37" s="67" t="str">
        <x:v>Codex: implement in assigned step</x:v>
      </x:c>
      <x:c r="H37" s="68"/>
      <x:c r="I37" s="68"/>
      <x:c r="J37" s="67"/>
      <x:c r="K37" s="67"/>
      <x:c r="L37" s="67"/>
      <x:c r="M37" s="67"/>
    </x:row>
    <x:row r="38" ht="26" customHeight="1">
      <x:c r="A38" s="66" t="str">
        <x:v>B20</x:v>
      </x:c>
      <x:c r="B38" s="67" t="str">
        <x:v>Step 8 · Projects</x:v>
      </x:c>
      <x:c r="C38" s="67" t="str">
        <x:v>Project/unit/plot status logic and validation</x:v>
      </x:c>
      <x:c r="D38" s="67" t="str">
        <x:v>Backend</x:v>
      </x:c>
      <x:c r="E38" s="67" t="str">
        <x:v>Not started</x:v>
      </x:c>
      <x:c r="F38" s="67" t="str">
        <x:v>Not yet implemented; follow approved V3 handoff.</x:v>
      </x:c>
      <x:c r="G38" s="67" t="str">
        <x:v>Codex: implement in assigned step</x:v>
      </x:c>
      <x:c r="H38" s="68"/>
      <x:c r="I38" s="68"/>
      <x:c r="J38" s="67"/>
      <x:c r="K38" s="67"/>
      <x:c r="L38" s="67"/>
      <x:c r="M38" s="67"/>
    </x:row>
    <x:row r="39" ht="26" customHeight="1">
      <x:c r="A39" s="66" t="str">
        <x:v>B21</x:v>
      </x:c>
      <x:c r="B39" s="67" t="str">
        <x:v>Step 8 · Booking</x:v>
      </x:c>
      <x:c r="C39" s="67" t="str">
        <x:v>Site-visit availability and enquiry persistence, double-book protection</x:v>
      </x:c>
      <x:c r="D39" s="67" t="str">
        <x:v>Backend</x:v>
      </x:c>
      <x:c r="E39" s="67" t="str">
        <x:v>Not started</x:v>
      </x:c>
      <x:c r="F39" s="67" t="str">
        <x:v>Not yet implemented; follow approved V3 handoff.</x:v>
      </x:c>
      <x:c r="G39" s="67" t="str">
        <x:v>Codex: implement in assigned step</x:v>
      </x:c>
      <x:c r="H39" s="68"/>
      <x:c r="I39" s="68"/>
      <x:c r="J39" s="67"/>
      <x:c r="K39" s="67"/>
      <x:c r="L39" s="67"/>
      <x:c r="M39" s="67"/>
    </x:row>
    <x:row r="40" ht="26" customHeight="1">
      <x:c r="A40" s="66" t="str">
        <x:v>B22</x:v>
      </x:c>
      <x:c r="B40" s="67" t="str">
        <x:v>Step 9 · Saved</x:v>
      </x:c>
      <x:c r="C40" s="67" t="str">
        <x:v>Saved listings/searches persistence, new-match calculations</x:v>
      </x:c>
      <x:c r="D40" s="67" t="str">
        <x:v>Backend</x:v>
      </x:c>
      <x:c r="E40" s="67" t="str">
        <x:v>Not started</x:v>
      </x:c>
      <x:c r="F40" s="67" t="str">
        <x:v>Not yet implemented; follow approved V3 handoff.</x:v>
      </x:c>
      <x:c r="G40" s="67" t="str">
        <x:v>Codex: implement in assigned step</x:v>
      </x:c>
      <x:c r="H40" s="68"/>
      <x:c r="I40" s="68"/>
      <x:c r="J40" s="67"/>
      <x:c r="K40" s="67"/>
      <x:c r="L40" s="67"/>
      <x:c r="M40" s="67"/>
    </x:row>
    <x:row r="41" ht="26" customHeight="1">
      <x:c r="A41" s="66" t="str">
        <x:v>B24</x:v>
      </x:c>
      <x:c r="B41" s="67" t="str">
        <x:v>Step 10B · Auth</x:v>
      </x:c>
      <x:c r="C41" s="67" t="str">
        <x:v>Secure sessions, approved sign-in integrations and auth tests</x:v>
      </x:c>
      <x:c r="D41" s="67" t="str">
        <x:v>Backend</x:v>
      </x:c>
      <x:c r="E41" s="67" t="str">
        <x:v>Not started</x:v>
      </x:c>
      <x:c r="F41" s="67" t="str">
        <x:v>Not yet implemented; follow approved V3 handoff.</x:v>
      </x:c>
      <x:c r="G41" s="67" t="str">
        <x:v>Codex: implement in assigned step</x:v>
      </x:c>
      <x:c r="H41" s="68"/>
      <x:c r="I41" s="68"/>
      <x:c r="J41" s="67"/>
      <x:c r="K41" s="67"/>
      <x:c r="L41" s="67"/>
      <x:c r="M41" s="67"/>
    </x:row>
    <x:row r="42" ht="26" customHeight="1">
      <x:c r="A42" s="66" t="str">
        <x:v>B25</x:v>
      </x:c>
      <x:c r="B42" s="67" t="str">
        <x:v>Step 10B · Auth</x:v>
      </x:c>
      <x:c r="C42" s="67" t="str">
        <x:v>Account/localStorage saved-item merge and privacy isolation</x:v>
      </x:c>
      <x:c r="D42" s="67" t="str">
        <x:v>Backend</x:v>
      </x:c>
      <x:c r="E42" s="67" t="str">
        <x:v>Not started</x:v>
      </x:c>
      <x:c r="F42" s="67" t="str">
        <x:v>Not yet implemented; follow approved V3 handoff.</x:v>
      </x:c>
      <x:c r="G42" s="67" t="str">
        <x:v>Codex: implement in assigned step</x:v>
      </x:c>
      <x:c r="H42" s="68"/>
      <x:c r="I42" s="68"/>
      <x:c r="J42" s="67"/>
      <x:c r="K42" s="67"/>
      <x:c r="L42" s="67"/>
      <x:c r="M42" s="67"/>
    </x:row>
    <x:row r="43" ht="26" customHeight="1">
      <x:c r="A43" s="66" t="str">
        <x:v>B26</x:v>
      </x:c>
      <x:c r="B43" s="67" t="str">
        <x:v>Step 11B · Admin</x:v>
      </x:c>
      <x:c r="C43" s="67" t="str">
        <x:v>Role-scoped CRUD for listings, images, projects, agents, filter config</x:v>
      </x:c>
      <x:c r="D43" s="67" t="str">
        <x:v>Backend</x:v>
      </x:c>
      <x:c r="E43" s="67" t="str">
        <x:v>Not started</x:v>
      </x:c>
      <x:c r="F43" s="67" t="str">
        <x:v>Not yet implemented; follow approved V3 handoff.</x:v>
      </x:c>
      <x:c r="G43" s="67" t="str">
        <x:v>Codex: implement in assigned step</x:v>
      </x:c>
      <x:c r="H43" s="68"/>
      <x:c r="I43" s="68"/>
      <x:c r="J43" s="67"/>
      <x:c r="K43" s="67"/>
      <x:c r="L43" s="67"/>
      <x:c r="M43" s="67"/>
    </x:row>
    <x:row r="44" ht="26" customHeight="1">
      <x:c r="A44" s="66" t="str">
        <x:v>B27</x:v>
      </x:c>
      <x:c r="B44" s="67" t="str">
        <x:v>Step 11B · Admin</x:v>
      </x:c>
      <x:c r="C44" s="67" t="str">
        <x:v>Admin user management, audit log and sensitive action authorization</x:v>
      </x:c>
      <x:c r="D44" s="67" t="str">
        <x:v>Backend</x:v>
      </x:c>
      <x:c r="E44" s="67" t="str">
        <x:v>Not started</x:v>
      </x:c>
      <x:c r="F44" s="67" t="str">
        <x:v>Not yet implemented; follow approved V3 handoff.</x:v>
      </x:c>
      <x:c r="G44" s="67" t="str">
        <x:v>Codex: implement in assigned step</x:v>
      </x:c>
      <x:c r="H44" s="68"/>
      <x:c r="I44" s="68"/>
      <x:c r="J44" s="67"/>
      <x:c r="K44" s="67"/>
      <x:c r="L44" s="67"/>
      <x:c r="M44" s="67"/>
    </x:row>
    <x:row r="45" ht="26" customHeight="1">
      <x:c r="A45" s="66" t="str">
        <x:v>B30</x:v>
      </x:c>
      <x:c r="B45" s="67" t="str">
        <x:v>Step 12 · Deploy</x:v>
      </x:c>
      <x:c r="C45" s="67" t="str">
        <x:v>Single VPS deployment, TLS, backups and migration runbook</x:v>
      </x:c>
      <x:c r="D45" s="67" t="str">
        <x:v>Backend</x:v>
      </x:c>
      <x:c r="E45" s="67" t="str">
        <x:v>Not started</x:v>
      </x:c>
      <x:c r="F45" s="67" t="str">
        <x:v>Not yet implemented; follow approved V3 handoff.</x:v>
      </x:c>
      <x:c r="G45" s="67" t="str">
        <x:v>Codex: implement in assigned step</x:v>
      </x:c>
      <x:c r="H45" s="68"/>
      <x:c r="I45" s="68"/>
      <x:c r="J45" s="67"/>
      <x:c r="K45" s="67"/>
      <x:c r="L45" s="67"/>
      <x:c r="M45" s="67"/>
    </x:row>
    <x:row r="46" ht="26" customHeight="1">
      <x:c r="A46" s="66" t="str">
        <x:v>B31</x:v>
      </x:c>
      <x:c r="B46" s="67" t="str">
        <x:v>Step 12 · Quality</x:v>
      </x:c>
      <x:c r="C46" s="67" t="str">
        <x:v>Real PostgreSQL integration/Playwright tests and EXPLAIN ANALYZE</x:v>
      </x:c>
      <x:c r="D46" s="67" t="str">
        <x:v>Backend</x:v>
      </x:c>
      <x:c r="E46" s="67" t="str">
        <x:v>Not started</x:v>
      </x:c>
      <x:c r="F46" s="67" t="str">
        <x:v>Not yet implemented; follow approved V3 handoff.</x:v>
      </x:c>
      <x:c r="G46" s="67" t="str">
        <x:v>Codex: implement in assigned step</x:v>
      </x:c>
      <x:c r="H46" s="68"/>
      <x:c r="I46" s="68"/>
      <x:c r="J46" s="67"/>
      <x:c r="K46" s="67"/>
      <x:c r="L46" s="67"/>
      <x:c r="M46" s="67"/>
    </x:row>
    <x:row r="47" ht="26" customHeight="1">
      <x:c r="A47" s="66" t="str">
        <x:v>B32</x:v>
      </x:c>
      <x:c r="B47" s="67" t="str">
        <x:v>Step 12 · Security</x:v>
      </x:c>
      <x:c r="C47" s="67" t="str">
        <x:v>Access control, PDPA, headers, secrets and rate-limit audit</x:v>
      </x:c>
      <x:c r="D47" s="67" t="str">
        <x:v>Backend</x:v>
      </x:c>
      <x:c r="E47" s="67" t="str">
        <x:v>Not started</x:v>
      </x:c>
      <x:c r="F47" s="67" t="str">
        <x:v>Not yet implemented; follow approved V3 handoff.</x:v>
      </x:c>
      <x:c r="G47" s="67" t="str">
        <x:v>Codex: implement in assigned step</x:v>
      </x:c>
      <x:c r="H47" s="68"/>
      <x:c r="I47" s="68"/>
      <x:c r="J47" s="67"/>
      <x:c r="K47" s="67"/>
      <x:c r="L47" s="67"/>
      <x:c r="M47" s="67"/>
    </x:row>
    <x:row r="48" ht="26" customHeight="1">
      <x:c r="A48" s="66" t="str">
        <x:v>B33</x:v>
      </x:c>
      <x:c r="B48" s="67" t="str">
        <x:v>Step 7 · Owners</x:v>
      </x:c>
      <x:c r="C48" s="67" t="str">
        <x:v>Home-value and service enquiry data handling</x:v>
      </x:c>
      <x:c r="D48" s="67" t="str">
        <x:v>Backend</x:v>
      </x:c>
      <x:c r="E48" s="67" t="str">
        <x:v>Not started</x:v>
      </x:c>
      <x:c r="F48" s="67" t="str">
        <x:v>Not yet implemented; follow approved V3 handoff.</x:v>
      </x:c>
      <x:c r="G48" s="67" t="str">
        <x:v>Codex: implement in assigned step</x:v>
      </x:c>
      <x:c r="H48" s="68"/>
      <x:c r="I48" s="68"/>
      <x:c r="J48" s="67"/>
      <x:c r="K48" s="67"/>
      <x:c r="L48" s="67"/>
      <x:c r="M48" s="67"/>
    </x:row>
    <x:row r="49" ht="26" customHeight="1">
      <x:c r="A49" s="66" t="str">
        <x:v>E01</x:v>
      </x:c>
      <x:c r="B49" s="67" t="str">
        <x:v>Step 6 · Email</x:v>
      </x:c>
      <x:c r="C49" s="67" t="str">
        <x:v>Enquiry notification with retryable queue/outbox</x:v>
      </x:c>
      <x:c r="D49" s="67" t="str">
        <x:v>Email</x:v>
      </x:c>
      <x:c r="E49" s="67" t="str">
        <x:v>Not started</x:v>
      </x:c>
      <x:c r="F49" s="67" t="str">
        <x:v>Not yet implemented; follow approved V3 handoff.</x:v>
      </x:c>
      <x:c r="G49" s="67" t="str">
        <x:v>Codex: implement in assigned step</x:v>
      </x:c>
      <x:c r="H49" s="68"/>
      <x:c r="I49" s="68"/>
      <x:c r="J49" s="67"/>
      <x:c r="K49" s="67"/>
      <x:c r="L49" s="67"/>
      <x:c r="M49" s="67"/>
    </x:row>
    <x:row r="50" ht="26" customHeight="1">
      <x:c r="A50" s="66" t="str">
        <x:v>E02</x:v>
      </x:c>
      <x:c r="B50" s="67" t="str">
        <x:v>Step 6 · Email</x:v>
      </x:c>
      <x:c r="C50" s="67" t="str">
        <x:v>Thai and English buyer enquiry acknowledgments</x:v>
      </x:c>
      <x:c r="D50" s="67" t="str">
        <x:v>Email</x:v>
      </x:c>
      <x:c r="E50" s="67" t="str">
        <x:v>Not started</x:v>
      </x:c>
      <x:c r="F50" s="67" t="str">
        <x:v>Not yet implemented; follow approved V3 handoff.</x:v>
      </x:c>
      <x:c r="G50" s="67" t="str">
        <x:v>Codex: implement in assigned step</x:v>
      </x:c>
      <x:c r="H50" s="68"/>
      <x:c r="I50" s="68"/>
      <x:c r="J50" s="67"/>
      <x:c r="K50" s="67"/>
      <x:c r="L50" s="67"/>
      <x:c r="M50" s="67"/>
    </x:row>
    <x:row r="51" ht="26" customHeight="1">
      <x:c r="A51" s="66" t="str">
        <x:v>E03</x:v>
      </x:c>
      <x:c r="B51" s="67" t="str">
        <x:v>Step 8 · Email</x:v>
      </x:c>
      <x:c r="C51" s="67" t="str">
        <x:v>Project brochure/price list email delivery</x:v>
      </x:c>
      <x:c r="D51" s="67" t="str">
        <x:v>Email</x:v>
      </x:c>
      <x:c r="E51" s="67" t="str">
        <x:v>Not started</x:v>
      </x:c>
      <x:c r="F51" s="67" t="str">
        <x:v>Not yet implemented; follow approved V3 handoff.</x:v>
      </x:c>
      <x:c r="G51" s="67" t="str">
        <x:v>Codex: implement in assigned step</x:v>
      </x:c>
      <x:c r="H51" s="68"/>
      <x:c r="I51" s="68"/>
      <x:c r="J51" s="67"/>
      <x:c r="K51" s="67"/>
      <x:c r="L51" s="67"/>
      <x:c r="M51" s="67"/>
    </x:row>
    <x:row r="52" ht="26" customHeight="1">
      <x:c r="A52" s="66" t="str">
        <x:v>E04</x:v>
      </x:c>
      <x:c r="B52" s="67" t="str">
        <x:v>Step 8 · Email</x:v>
      </x:c>
      <x:c r="C52" s="67" t="str">
        <x:v>Site visit request and confirmation notifications</x:v>
      </x:c>
      <x:c r="D52" s="67" t="str">
        <x:v>Email</x:v>
      </x:c>
      <x:c r="E52" s="67" t="str">
        <x:v>Not started</x:v>
      </x:c>
      <x:c r="F52" s="67" t="str">
        <x:v>Not yet implemented; follow approved V3 handoff.</x:v>
      </x:c>
      <x:c r="G52" s="67" t="str">
        <x:v>Codex: implement in assigned step</x:v>
      </x:c>
      <x:c r="H52" s="68"/>
      <x:c r="I52" s="68"/>
      <x:c r="J52" s="67"/>
      <x:c r="K52" s="67"/>
      <x:c r="L52" s="67"/>
      <x:c r="M52" s="67"/>
    </x:row>
    <x:row r="53" ht="26" customHeight="1">
      <x:c r="A53" s="66" t="str">
        <x:v>E05</x:v>
      </x:c>
      <x:c r="B53" s="67" t="str">
        <x:v>Step 9 · Alerts</x:v>
      </x:c>
      <x:c r="C53" s="67" t="str">
        <x:v>Instant/daily saved search email alerts for signed-in users</x:v>
      </x:c>
      <x:c r="D53" s="67" t="str">
        <x:v>Email</x:v>
      </x:c>
      <x:c r="E53" s="67" t="str">
        <x:v>Not started</x:v>
      </x:c>
      <x:c r="F53" s="67" t="str">
        <x:v>Not yet implemented; follow approved V3 handoff.</x:v>
      </x:c>
      <x:c r="G53" s="67" t="str">
        <x:v>Codex: implement in assigned step</x:v>
      </x:c>
      <x:c r="H53" s="68"/>
      <x:c r="I53" s="68"/>
      <x:c r="J53" s="67"/>
      <x:c r="K53" s="67"/>
      <x:c r="L53" s="67"/>
      <x:c r="M53" s="67"/>
    </x:row>
    <x:row r="54" ht="26" customHeight="1">
      <x:c r="A54" s="66" t="str">
        <x:v>E06</x:v>
      </x:c>
      <x:c r="B54" s="67" t="str">
        <x:v>Step 10B · Email</x:v>
      </x:c>
      <x:c r="C54" s="67" t="str">
        <x:v>Account verification and recovery messages if email auth approved</x:v>
      </x:c>
      <x:c r="D54" s="67" t="str">
        <x:v>Email</x:v>
      </x:c>
      <x:c r="E54" s="67" t="str">
        <x:v>Not started</x:v>
      </x:c>
      <x:c r="F54" s="67" t="str">
        <x:v>Not yet implemented; follow approved V3 handoff.</x:v>
      </x:c>
      <x:c r="G54" s="67" t="str">
        <x:v>Codex: implement in assigned step</x:v>
      </x:c>
      <x:c r="H54" s="68"/>
      <x:c r="I54" s="68"/>
      <x:c r="J54" s="67"/>
      <x:c r="K54" s="67"/>
      <x:c r="L54" s="67"/>
      <x:c r="M54" s="67"/>
    </x:row>
    <x:row r="55" ht="26" customHeight="1">
      <x:c r="A55" s="66" t="str">
        <x:v>E07</x:v>
      </x:c>
      <x:c r="B55" s="67" t="str">
        <x:v>Step 11B · Email</x:v>
      </x:c>
      <x:c r="C55" s="67" t="str">
        <x:v>Agent notification/routing administration</x:v>
      </x:c>
      <x:c r="D55" s="67" t="str">
        <x:v>Email</x:v>
      </x:c>
      <x:c r="E55" s="67" t="str">
        <x:v>Not started</x:v>
      </x:c>
      <x:c r="F55" s="67" t="str">
        <x:v>Not yet implemented; follow approved V3 handoff.</x:v>
      </x:c>
      <x:c r="G55" s="67" t="str">
        <x:v>Codex: implement in assigned step</x:v>
      </x:c>
      <x:c r="H55" s="68"/>
      <x:c r="I55" s="68"/>
      <x:c r="J55" s="67"/>
      <x:c r="K55" s="67"/>
      <x:c r="L55" s="67"/>
      <x:c r="M55" s="67"/>
    </x:row>
    <x:row r="56" ht="26" customHeight="1">
      <x:c r="A56" s="66" t="str">
        <x:v>E08</x:v>
      </x:c>
      <x:c r="B56" s="67" t="str">
        <x:v>Step 7 · Email</x:v>
      </x:c>
      <x:c r="C56" s="67" t="str">
        <x:v>Home valuation and service enquiry replies</x:v>
      </x:c>
      <x:c r="D56" s="67" t="str">
        <x:v>Email</x:v>
      </x:c>
      <x:c r="E56" s="67" t="str">
        <x:v>Not started</x:v>
      </x:c>
      <x:c r="F56" s="67" t="str">
        <x:v>Not yet implemented; follow approved V3 handoff.</x:v>
      </x:c>
      <x:c r="G56" s="67" t="str">
        <x:v>Codex: implement in assigned step</x:v>
      </x:c>
      <x:c r="H56" s="68"/>
      <x:c r="I56" s="68"/>
      <x:c r="J56" s="67"/>
      <x:c r="K56" s="67"/>
      <x:c r="L56" s="67"/>
      <x:c r="M56" s="67"/>
    </x:row>
    <x:row r="57" ht="26" customHeight="1">
      <x:c r="A57" s="56"/>
      <x:c r="B57" s="57"/>
      <x:c r="C57" s="57"/>
      <x:c r="D57" s="57"/>
      <x:c r="E57" s="57"/>
      <x:c r="F57" s="57"/>
      <x:c r="G57" s="57"/>
      <x:c r="H57" s="58"/>
      <x:c r="I57" s="58"/>
      <x:c r="J57" s="57"/>
      <x:c r="K57" s="57"/>
      <x:c r="L57" s="57"/>
      <x:c r="M57" s="57"/>
    </x:row>
    <x:row r="58" ht="26" customHeight="1">
      <x:c r="A58" s="56"/>
      <x:c r="B58" s="57"/>
      <x:c r="C58" s="57"/>
      <x:c r="D58" s="57"/>
      <x:c r="E58" s="57"/>
      <x:c r="F58" s="57"/>
      <x:c r="G58" s="57"/>
      <x:c r="H58" s="58"/>
      <x:c r="I58" s="58"/>
      <x:c r="J58" s="57"/>
      <x:c r="K58" s="57"/>
      <x:c r="L58" s="57"/>
      <x:c r="M58" s="57"/>
    </x:row>
    <x:row r="59" ht="26" customHeight="1">
      <x:c r="A59" s="56"/>
      <x:c r="B59" s="57"/>
      <x:c r="C59" s="57"/>
      <x:c r="D59" s="57"/>
      <x:c r="E59" s="57"/>
      <x:c r="F59" s="57"/>
      <x:c r="G59" s="57"/>
      <x:c r="H59" s="58"/>
      <x:c r="I59" s="58"/>
      <x:c r="J59" s="57"/>
      <x:c r="K59" s="57"/>
      <x:c r="L59" s="57"/>
      <x:c r="M59" s="57"/>
    </x:row>
    <x:row r="60" ht="26" customHeight="1">
      <x:c r="A60" s="56"/>
      <x:c r="B60" s="57"/>
      <x:c r="C60" s="57"/>
      <x:c r="D60" s="57"/>
      <x:c r="E60" s="57"/>
      <x:c r="F60" s="57"/>
      <x:c r="G60" s="57"/>
      <x:c r="H60" s="58"/>
      <x:c r="I60" s="58"/>
      <x:c r="J60" s="57"/>
      <x:c r="K60" s="57"/>
      <x:c r="L60" s="57"/>
      <x:c r="M60" s="57"/>
    </x:row>
    <x:row r="61" ht="26" customHeight="1">
      <x:c r="A61" s="56"/>
      <x:c r="B61" s="57"/>
      <x:c r="C61" s="57"/>
      <x:c r="D61" s="57"/>
      <x:c r="E61" s="57"/>
      <x:c r="F61" s="57"/>
      <x:c r="G61" s="57"/>
      <x:c r="H61" s="58"/>
      <x:c r="I61" s="58"/>
      <x:c r="J61" s="57"/>
      <x:c r="K61" s="57"/>
      <x:c r="L61" s="57"/>
      <x:c r="M61" s="57"/>
    </x:row>
    <x:row r="62" ht="26" customHeight="1">
      <x:c r="A62" s="56"/>
      <x:c r="B62" s="57"/>
      <x:c r="C62" s="57"/>
      <x:c r="D62" s="57"/>
      <x:c r="E62" s="57"/>
      <x:c r="F62" s="57"/>
      <x:c r="G62" s="57"/>
      <x:c r="H62" s="58"/>
      <x:c r="I62" s="58"/>
      <x:c r="J62" s="57"/>
      <x:c r="K62" s="57"/>
      <x:c r="L62" s="57"/>
      <x:c r="M62" s="57"/>
    </x:row>
    <x:row r="63" ht="26" customHeight="1">
      <x:c r="A63" s="56"/>
      <x:c r="B63" s="57"/>
      <x:c r="C63" s="57"/>
      <x:c r="D63" s="57"/>
      <x:c r="E63" s="57"/>
      <x:c r="F63" s="57"/>
      <x:c r="G63" s="57"/>
      <x:c r="H63" s="58"/>
      <x:c r="I63" s="58"/>
      <x:c r="J63" s="57"/>
      <x:c r="K63" s="57"/>
      <x:c r="L63" s="57"/>
      <x:c r="M63" s="57"/>
    </x:row>
    <x:row r="64" ht="26" customHeight="1">
      <x:c r="A64" s="56"/>
      <x:c r="B64" s="57"/>
      <x:c r="C64" s="57"/>
      <x:c r="D64" s="57"/>
      <x:c r="E64" s="57"/>
      <x:c r="F64" s="57"/>
      <x:c r="G64" s="57"/>
      <x:c r="H64" s="58"/>
      <x:c r="I64" s="58"/>
      <x:c r="J64" s="57"/>
      <x:c r="K64" s="57"/>
      <x:c r="L64" s="57"/>
      <x:c r="M64" s="57"/>
    </x:row>
    <x:row r="65" ht="26" customHeight="1">
      <x:c r="A65" s="56"/>
      <x:c r="B65" s="57"/>
      <x:c r="C65" s="57"/>
      <x:c r="D65" s="57"/>
      <x:c r="E65" s="57"/>
      <x:c r="F65" s="57"/>
      <x:c r="G65" s="57"/>
      <x:c r="H65" s="58"/>
      <x:c r="I65" s="58"/>
      <x:c r="J65" s="57"/>
      <x:c r="K65" s="57"/>
      <x:c r="L65" s="57"/>
      <x:c r="M65" s="57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48" priority="1">
      <x:formula>$E6="Pending"</x:formula>
    </x:cfRule>
    <x:cfRule type="expression" dxfId="49" priority="2">
      <x:formula>$E6="Done"</x:formula>
    </x:cfRule>
    <x:cfRule type="expression" dxfId="50" priority="3">
      <x:formula>$E6="Not started"</x:formula>
    </x:cfRule>
  </x:conditionalFormatting>
  <x:dataValidations count="4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57:E65">
      <x:formula1>"Done,Pending,Not started"</x:formula1>
    </x:dataValidation>
    <x:dataValidation type="list" sqref="E6:E56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0b6c89df874021"/>
  </x:tableParts>
</x:worksheet>
</file>